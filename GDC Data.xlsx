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ataonline-my.sharepoint.com/personal/v-lopezjo_iata_org/Documents/Documents/IATA/Airline Participation/"/>
    </mc:Choice>
  </mc:AlternateContent>
  <xr:revisionPtr revIDLastSave="42" documentId="11_B4B84FF3B361D658E92317589E0304C2208D2B00" xr6:coauthVersionLast="47" xr6:coauthVersionMax="47" xr10:uidLastSave="{A4B75216-9197-4834-A153-B90BB1C30948}"/>
  <bookViews>
    <workbookView xWindow="-110" yWindow="-110" windowWidth="19420" windowHeight="10300" activeTab="1" xr2:uid="{00000000-000D-0000-FFFF-FFFF00000000}"/>
  </bookViews>
  <sheets>
    <sheet name="Export" sheetId="1" r:id="rId1"/>
    <sheet name="WH Data" sheetId="3" r:id="rId2"/>
    <sheet name="Sheet1" sheetId="2" r:id="rId3"/>
  </sheets>
  <definedNames>
    <definedName name="ExternalData_1" localSheetId="1" hidden="1">'WH Data'!$A$1:$M$377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2" i="1"/>
  <c r="N2" i="3"/>
  <c r="J2" i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965EA8-E119-455B-94E3-36C03289D705}" keepAlive="1" name="Query - WH Data" description="Connection to the 'WH Data' query in the workbook." type="5" refreshedVersion="8" background="1" saveData="1">
    <dbPr connection="Provider=Microsoft.Mashup.OleDb.1;Data Source=$Workbook$;Location=&quot;WH Data&quot;;Extended Properties=&quot;&quot;" command="SELECT * FROM [WH Data]"/>
  </connection>
</connections>
</file>

<file path=xl/sharedStrings.xml><?xml version="1.0" encoding="utf-8"?>
<sst xmlns="http://schemas.openxmlformats.org/spreadsheetml/2006/main" count="5643" uniqueCount="1051">
  <si>
    <t>CaseNumber</t>
  </si>
  <si>
    <t>Region__c</t>
  </si>
  <si>
    <t>ClosedDate</t>
  </si>
  <si>
    <t>Airline Joining ISS within 15 days</t>
  </si>
  <si>
    <t>Exception__c</t>
  </si>
  <si>
    <t>Process</t>
  </si>
  <si>
    <t>Reason1__c</t>
  </si>
  <si>
    <t>Closed_by_Role__c</t>
  </si>
  <si>
    <t>16418233</t>
  </si>
  <si>
    <t>Europe</t>
  </si>
  <si>
    <t>AP Long Process</t>
  </si>
  <si>
    <t>BSP Direct - Member</t>
  </si>
  <si>
    <t>Airline Management</t>
  </si>
  <si>
    <t>16868588</t>
  </si>
  <si>
    <t>Americas</t>
  </si>
  <si>
    <t>CASS Export via GSSA - Non-Member</t>
  </si>
  <si>
    <t>17235772</t>
  </si>
  <si>
    <t>BSP Direct - Non-Member</t>
  </si>
  <si>
    <t>17451797</t>
  </si>
  <si>
    <t>CASS Direct - Member</t>
  </si>
  <si>
    <t>17551158</t>
  </si>
  <si>
    <t>Africa &amp; Middle East</t>
  </si>
  <si>
    <t>18015189</t>
  </si>
  <si>
    <t>China &amp; North Asia</t>
  </si>
  <si>
    <t>18215607</t>
  </si>
  <si>
    <t>18353813</t>
  </si>
  <si>
    <t>18436311</t>
  </si>
  <si>
    <t>18871664</t>
  </si>
  <si>
    <t>15757133</t>
  </si>
  <si>
    <t>Asia &amp; Pacific</t>
  </si>
  <si>
    <t>WH Airline Participation</t>
  </si>
  <si>
    <t>15777747</t>
  </si>
  <si>
    <t>16475546</t>
  </si>
  <si>
    <t>16675332</t>
  </si>
  <si>
    <t>16781935</t>
  </si>
  <si>
    <t>16851147</t>
  </si>
  <si>
    <t>16903015</t>
  </si>
  <si>
    <t>17077696</t>
  </si>
  <si>
    <t>17091255</t>
  </si>
  <si>
    <t>17164226</t>
  </si>
  <si>
    <t>17183325</t>
  </si>
  <si>
    <t>17185017</t>
  </si>
  <si>
    <t>17214350</t>
  </si>
  <si>
    <t>17246396</t>
  </si>
  <si>
    <t>CASS Export via GSSA - Member</t>
  </si>
  <si>
    <t>17263839</t>
  </si>
  <si>
    <t>CASS Direct - Non-Member</t>
  </si>
  <si>
    <t>17322311</t>
  </si>
  <si>
    <t>17365716</t>
  </si>
  <si>
    <t>17396088</t>
  </si>
  <si>
    <t>17396236</t>
  </si>
  <si>
    <t>17396247</t>
  </si>
  <si>
    <t>17396259</t>
  </si>
  <si>
    <t>17396274</t>
  </si>
  <si>
    <t>17403943</t>
  </si>
  <si>
    <t>17403955</t>
  </si>
  <si>
    <t>17403967</t>
  </si>
  <si>
    <t>17403987</t>
  </si>
  <si>
    <t>17403994</t>
  </si>
  <si>
    <t>17413262</t>
  </si>
  <si>
    <t>17486131</t>
  </si>
  <si>
    <t>17499458</t>
  </si>
  <si>
    <t>17499470</t>
  </si>
  <si>
    <t>17500334</t>
  </si>
  <si>
    <t>17550498</t>
  </si>
  <si>
    <t>17557130</t>
  </si>
  <si>
    <t>17573379</t>
  </si>
  <si>
    <t>17583138</t>
  </si>
  <si>
    <t>17596465</t>
  </si>
  <si>
    <t>17618484</t>
  </si>
  <si>
    <t>17629467</t>
  </si>
  <si>
    <t>17631947</t>
  </si>
  <si>
    <t>17634025</t>
  </si>
  <si>
    <t>17636411</t>
  </si>
  <si>
    <t>17636994</t>
  </si>
  <si>
    <t>17637187</t>
  </si>
  <si>
    <t>17639708</t>
  </si>
  <si>
    <t>17646416</t>
  </si>
  <si>
    <t>17684555</t>
  </si>
  <si>
    <t>17700775</t>
  </si>
  <si>
    <t>17704922</t>
  </si>
  <si>
    <t>17707562</t>
  </si>
  <si>
    <t>17713692</t>
  </si>
  <si>
    <t>17713714</t>
  </si>
  <si>
    <t>17713813</t>
  </si>
  <si>
    <t>17723280</t>
  </si>
  <si>
    <t>17747237</t>
  </si>
  <si>
    <t>17747475</t>
  </si>
  <si>
    <t>17754451</t>
  </si>
  <si>
    <t>17776143</t>
  </si>
  <si>
    <t>17800516</t>
  </si>
  <si>
    <t>17803215</t>
  </si>
  <si>
    <t>17804485</t>
  </si>
  <si>
    <t>17806085</t>
  </si>
  <si>
    <t>17806221</t>
  </si>
  <si>
    <t>17808508</t>
  </si>
  <si>
    <t>17826079</t>
  </si>
  <si>
    <t>17834817</t>
  </si>
  <si>
    <t>17841535</t>
  </si>
  <si>
    <t>17842403</t>
  </si>
  <si>
    <t>17845248</t>
  </si>
  <si>
    <t>17845637</t>
  </si>
  <si>
    <t>17848860</t>
  </si>
  <si>
    <t>17849735</t>
  </si>
  <si>
    <t>17850544</t>
  </si>
  <si>
    <t>17863050</t>
  </si>
  <si>
    <t>17870979</t>
  </si>
  <si>
    <t>17871027</t>
  </si>
  <si>
    <t>17871110</t>
  </si>
  <si>
    <t>17871389</t>
  </si>
  <si>
    <t>17871411</t>
  </si>
  <si>
    <t>17892525</t>
  </si>
  <si>
    <t>17915351</t>
  </si>
  <si>
    <t>17924595</t>
  </si>
  <si>
    <t>17928931</t>
  </si>
  <si>
    <t>17928935</t>
  </si>
  <si>
    <t>17935880</t>
  </si>
  <si>
    <t>17947835</t>
  </si>
  <si>
    <t>17950855</t>
  </si>
  <si>
    <t>17974379</t>
  </si>
  <si>
    <t>17974726</t>
  </si>
  <si>
    <t>17974771</t>
  </si>
  <si>
    <t>17979573</t>
  </si>
  <si>
    <t>17983312</t>
  </si>
  <si>
    <t>17983433</t>
  </si>
  <si>
    <t>17984305</t>
  </si>
  <si>
    <t>17993507</t>
  </si>
  <si>
    <t>17993632</t>
  </si>
  <si>
    <t>17993736</t>
  </si>
  <si>
    <t>18001792</t>
  </si>
  <si>
    <t>18003239</t>
  </si>
  <si>
    <t>18003819</t>
  </si>
  <si>
    <t>18008927</t>
  </si>
  <si>
    <t>18008985</t>
  </si>
  <si>
    <t>18010634</t>
  </si>
  <si>
    <t>18010841</t>
  </si>
  <si>
    <t>18011267</t>
  </si>
  <si>
    <t>18014392</t>
  </si>
  <si>
    <t>18015602</t>
  </si>
  <si>
    <t>18017337</t>
  </si>
  <si>
    <t>18017383</t>
  </si>
  <si>
    <t>18019273</t>
  </si>
  <si>
    <t>18019468</t>
  </si>
  <si>
    <t>18027241</t>
  </si>
  <si>
    <t>18027316</t>
  </si>
  <si>
    <t>18027887</t>
  </si>
  <si>
    <t>18037293</t>
  </si>
  <si>
    <t>18045445</t>
  </si>
  <si>
    <t>18045478</t>
  </si>
  <si>
    <t>18045505</t>
  </si>
  <si>
    <t>18055523</t>
  </si>
  <si>
    <t>18056402</t>
  </si>
  <si>
    <t>18058982</t>
  </si>
  <si>
    <t>18059379</t>
  </si>
  <si>
    <t>18060519</t>
  </si>
  <si>
    <t>18062180</t>
  </si>
  <si>
    <t>18066414</t>
  </si>
  <si>
    <t>18073361</t>
  </si>
  <si>
    <t>18076600</t>
  </si>
  <si>
    <t>18077019</t>
  </si>
  <si>
    <t>18089318</t>
  </si>
  <si>
    <t>18096454</t>
  </si>
  <si>
    <t>18104951</t>
  </si>
  <si>
    <t>18111785</t>
  </si>
  <si>
    <t>18113463</t>
  </si>
  <si>
    <t>18126570</t>
  </si>
  <si>
    <t>18137309</t>
  </si>
  <si>
    <t>18149865</t>
  </si>
  <si>
    <t>18150734</t>
  </si>
  <si>
    <t>18159523</t>
  </si>
  <si>
    <t>18160161</t>
  </si>
  <si>
    <t>18160180</t>
  </si>
  <si>
    <t>18160184</t>
  </si>
  <si>
    <t>18160190</t>
  </si>
  <si>
    <t>18160199</t>
  </si>
  <si>
    <t>18160207</t>
  </si>
  <si>
    <t>18160215</t>
  </si>
  <si>
    <t>18160218</t>
  </si>
  <si>
    <t>18160224</t>
  </si>
  <si>
    <t>18160227</t>
  </si>
  <si>
    <t>18160561</t>
  </si>
  <si>
    <t>18163762</t>
  </si>
  <si>
    <t>18163886</t>
  </si>
  <si>
    <t>18163949</t>
  </si>
  <si>
    <t>18164050</t>
  </si>
  <si>
    <t>18164119</t>
  </si>
  <si>
    <t>18164372</t>
  </si>
  <si>
    <t>18164434</t>
  </si>
  <si>
    <t>18164487</t>
  </si>
  <si>
    <t>18164515</t>
  </si>
  <si>
    <t>18164548</t>
  </si>
  <si>
    <t>18166857</t>
  </si>
  <si>
    <t>18173647</t>
  </si>
  <si>
    <t>18177875</t>
  </si>
  <si>
    <t>18183403</t>
  </si>
  <si>
    <t>18183421</t>
  </si>
  <si>
    <t>18183440</t>
  </si>
  <si>
    <t>18183511</t>
  </si>
  <si>
    <t>18183609</t>
  </si>
  <si>
    <t>18183642</t>
  </si>
  <si>
    <t>18183660</t>
  </si>
  <si>
    <t>18183678</t>
  </si>
  <si>
    <t>18183899</t>
  </si>
  <si>
    <t>18185605</t>
  </si>
  <si>
    <t>18186032</t>
  </si>
  <si>
    <t>18193979</t>
  </si>
  <si>
    <t>18213252</t>
  </si>
  <si>
    <t>18217096</t>
  </si>
  <si>
    <t>18217234</t>
  </si>
  <si>
    <t>18220090</t>
  </si>
  <si>
    <t>18221636</t>
  </si>
  <si>
    <t>18234524</t>
  </si>
  <si>
    <t>18239196</t>
  </si>
  <si>
    <t>18245511</t>
  </si>
  <si>
    <t>18245601</t>
  </si>
  <si>
    <t>18245868</t>
  </si>
  <si>
    <t>18249352</t>
  </si>
  <si>
    <t>18250506</t>
  </si>
  <si>
    <t>18262473</t>
  </si>
  <si>
    <t>18263590</t>
  </si>
  <si>
    <t>18263725</t>
  </si>
  <si>
    <t>18273249</t>
  </si>
  <si>
    <t>18275724</t>
  </si>
  <si>
    <t>18279133</t>
  </si>
  <si>
    <t>18289477</t>
  </si>
  <si>
    <t>18289541</t>
  </si>
  <si>
    <t>18296106</t>
  </si>
  <si>
    <t>18297246</t>
  </si>
  <si>
    <t>18298746</t>
  </si>
  <si>
    <t>18304799</t>
  </si>
  <si>
    <t>18304822</t>
  </si>
  <si>
    <t>18304852</t>
  </si>
  <si>
    <t>18304860</t>
  </si>
  <si>
    <t>18304864</t>
  </si>
  <si>
    <t>18304869</t>
  </si>
  <si>
    <t>18304873</t>
  </si>
  <si>
    <t>18310494</t>
  </si>
  <si>
    <t>18312713</t>
  </si>
  <si>
    <t>18313255</t>
  </si>
  <si>
    <t>18325470</t>
  </si>
  <si>
    <t>18328798</t>
  </si>
  <si>
    <t>18331889</t>
  </si>
  <si>
    <t>18354576</t>
  </si>
  <si>
    <t>18359213</t>
  </si>
  <si>
    <t>18360036</t>
  </si>
  <si>
    <t>18360061</t>
  </si>
  <si>
    <t>18365453</t>
  </si>
  <si>
    <t>18371768</t>
  </si>
  <si>
    <t>18373835</t>
  </si>
  <si>
    <t>18376553</t>
  </si>
  <si>
    <t>18376719</t>
  </si>
  <si>
    <t>18377536</t>
  </si>
  <si>
    <t>18380496</t>
  </si>
  <si>
    <t>18385037</t>
  </si>
  <si>
    <t>18393296</t>
  </si>
  <si>
    <t>18395038</t>
  </si>
  <si>
    <t>18396906</t>
  </si>
  <si>
    <t>18396917</t>
  </si>
  <si>
    <t>18396925</t>
  </si>
  <si>
    <t>18401814</t>
  </si>
  <si>
    <t>18402402</t>
  </si>
  <si>
    <t>18402772</t>
  </si>
  <si>
    <t>18403028</t>
  </si>
  <si>
    <t>18405837</t>
  </si>
  <si>
    <t>18405852</t>
  </si>
  <si>
    <t>18408759</t>
  </si>
  <si>
    <t>18412538</t>
  </si>
  <si>
    <t>18412616</t>
  </si>
  <si>
    <t>18412623</t>
  </si>
  <si>
    <t>18417487</t>
  </si>
  <si>
    <t>18419870</t>
  </si>
  <si>
    <t>18420239</t>
  </si>
  <si>
    <t>18420436</t>
  </si>
  <si>
    <t>18423204</t>
  </si>
  <si>
    <t>18425533</t>
  </si>
  <si>
    <t>18427742</t>
  </si>
  <si>
    <t>18430000</t>
  </si>
  <si>
    <t>18447526</t>
  </si>
  <si>
    <t>18447548</t>
  </si>
  <si>
    <t>18447584</t>
  </si>
  <si>
    <t>18447605</t>
  </si>
  <si>
    <t>18447772</t>
  </si>
  <si>
    <t>18459091</t>
  </si>
  <si>
    <t>18460640</t>
  </si>
  <si>
    <t>18460689</t>
  </si>
  <si>
    <t>18460785</t>
  </si>
  <si>
    <t>18460804</t>
  </si>
  <si>
    <t>18460817</t>
  </si>
  <si>
    <t>18460836</t>
  </si>
  <si>
    <t>18460846</t>
  </si>
  <si>
    <t>18460853</t>
  </si>
  <si>
    <t>18460865</t>
  </si>
  <si>
    <t>18461590</t>
  </si>
  <si>
    <t>18465822</t>
  </si>
  <si>
    <t>18466216</t>
  </si>
  <si>
    <t>18471876</t>
  </si>
  <si>
    <t>18473906</t>
  </si>
  <si>
    <t>18485540</t>
  </si>
  <si>
    <t>18490344</t>
  </si>
  <si>
    <t>18492823</t>
  </si>
  <si>
    <t>18497949</t>
  </si>
  <si>
    <t>18498551</t>
  </si>
  <si>
    <t>18499476</t>
  </si>
  <si>
    <t>18504797</t>
  </si>
  <si>
    <t>18524628</t>
  </si>
  <si>
    <t>18532061</t>
  </si>
  <si>
    <t>18539060</t>
  </si>
  <si>
    <t>18540465</t>
  </si>
  <si>
    <t>18543330</t>
  </si>
  <si>
    <t>18543868</t>
  </si>
  <si>
    <t>18549996</t>
  </si>
  <si>
    <t>18554271</t>
  </si>
  <si>
    <t>18562810</t>
  </si>
  <si>
    <t>18565832</t>
  </si>
  <si>
    <t>18566596</t>
  </si>
  <si>
    <t>18567146</t>
  </si>
  <si>
    <t>18567819</t>
  </si>
  <si>
    <t>18567844</t>
  </si>
  <si>
    <t>18568870</t>
  </si>
  <si>
    <t>18575027</t>
  </si>
  <si>
    <t>18580003</t>
  </si>
  <si>
    <t>18580005</t>
  </si>
  <si>
    <t>18580007</t>
  </si>
  <si>
    <t>18580021</t>
  </si>
  <si>
    <t>18580026</t>
  </si>
  <si>
    <t>18580077</t>
  </si>
  <si>
    <t>18582722</t>
  </si>
  <si>
    <t>18591616</t>
  </si>
  <si>
    <t>18591618</t>
  </si>
  <si>
    <t>18591622</t>
  </si>
  <si>
    <t>18591625</t>
  </si>
  <si>
    <t>18591628</t>
  </si>
  <si>
    <t>18591630</t>
  </si>
  <si>
    <t>18591632</t>
  </si>
  <si>
    <t>18594971</t>
  </si>
  <si>
    <t>18595215</t>
  </si>
  <si>
    <t>18595469</t>
  </si>
  <si>
    <t>18597208</t>
  </si>
  <si>
    <t>18607382</t>
  </si>
  <si>
    <t>18608452</t>
  </si>
  <si>
    <t>18609329</t>
  </si>
  <si>
    <t>18619252</t>
  </si>
  <si>
    <t>18620902</t>
  </si>
  <si>
    <t>18628206</t>
  </si>
  <si>
    <t>18634517</t>
  </si>
  <si>
    <t>18637013</t>
  </si>
  <si>
    <t>18641319</t>
  </si>
  <si>
    <t>18645130</t>
  </si>
  <si>
    <t>18645950</t>
  </si>
  <si>
    <t>18648630</t>
  </si>
  <si>
    <t>18652713</t>
  </si>
  <si>
    <t>18662529</t>
  </si>
  <si>
    <t>18662919</t>
  </si>
  <si>
    <t>18666598</t>
  </si>
  <si>
    <t>18681626</t>
  </si>
  <si>
    <t>18683231</t>
  </si>
  <si>
    <t>18686523</t>
  </si>
  <si>
    <t>18694842</t>
  </si>
  <si>
    <t>18705452</t>
  </si>
  <si>
    <t>18705908</t>
  </si>
  <si>
    <t>18718331</t>
  </si>
  <si>
    <t>18723594</t>
  </si>
  <si>
    <t>18733475</t>
  </si>
  <si>
    <t>18734078</t>
  </si>
  <si>
    <t>18735939</t>
  </si>
  <si>
    <t>18738937</t>
  </si>
  <si>
    <t>18738952</t>
  </si>
  <si>
    <t>18738962</t>
  </si>
  <si>
    <t>18745721</t>
  </si>
  <si>
    <t>18745843</t>
  </si>
  <si>
    <t>18745880</t>
  </si>
  <si>
    <t>18745926</t>
  </si>
  <si>
    <t>18748092</t>
  </si>
  <si>
    <t>18767759</t>
  </si>
  <si>
    <t>18773579</t>
  </si>
  <si>
    <t>18774184</t>
  </si>
  <si>
    <t>18775291</t>
  </si>
  <si>
    <t>18781846</t>
  </si>
  <si>
    <t>18793091</t>
  </si>
  <si>
    <t>18806902</t>
  </si>
  <si>
    <t>18811840</t>
  </si>
  <si>
    <t>18816439</t>
  </si>
  <si>
    <t>18816558</t>
  </si>
  <si>
    <t>18816716</t>
  </si>
  <si>
    <t>18818924</t>
  </si>
  <si>
    <t>18819055</t>
  </si>
  <si>
    <t>18819927</t>
  </si>
  <si>
    <t>18825512</t>
  </si>
  <si>
    <t>18830674</t>
  </si>
  <si>
    <t>18842617</t>
  </si>
  <si>
    <t>18867849</t>
  </si>
  <si>
    <t>18868054</t>
  </si>
  <si>
    <t>18870876</t>
  </si>
  <si>
    <t>18900508</t>
  </si>
  <si>
    <t>Total</t>
  </si>
  <si>
    <t>Applied filters:
ClosedDate 1/1/2025 - 12/31/2025</t>
  </si>
  <si>
    <t>Case Number</t>
  </si>
  <si>
    <t>WH Name</t>
  </si>
  <si>
    <t>Account Name</t>
  </si>
  <si>
    <t>Country</t>
  </si>
  <si>
    <t>Reason</t>
  </si>
  <si>
    <t>Closed Date</t>
  </si>
  <si>
    <t>Parent link</t>
  </si>
  <si>
    <t>Case link</t>
  </si>
  <si>
    <t>Average of Process Age</t>
  </si>
  <si>
    <t>CaseArea__c</t>
  </si>
  <si>
    <t>RecordType__c</t>
  </si>
  <si>
    <t>Mihaela-Georgiana Boran</t>
  </si>
  <si>
    <t>AirAsia X</t>
  </si>
  <si>
    <t>Korea, Republic of</t>
  </si>
  <si>
    <t/>
  </si>
  <si>
    <t>https://iata.my.salesforce.com/5005J00000VqLHdQAN</t>
  </si>
  <si>
    <t>Airline Joining</t>
  </si>
  <si>
    <t>IDFS Airline Participation Process</t>
  </si>
  <si>
    <t>Raluca Baltag</t>
  </si>
  <si>
    <t>Chinese Taipei</t>
  </si>
  <si>
    <t>https://iata.my.salesforce.com/5005J00000VrAqgQAF</t>
  </si>
  <si>
    <t>Yingran An</t>
  </si>
  <si>
    <t>FlyNAS</t>
  </si>
  <si>
    <t>Germany</t>
  </si>
  <si>
    <t>https://iata.my.salesforce.com/5005J00000Z4SyjQAF</t>
  </si>
  <si>
    <t>https://iata.my.salesforce.com/5005J00000ZFwo2QAD</t>
  </si>
  <si>
    <t>Ioana Alexandra Zbirciog</t>
  </si>
  <si>
    <t>Singapore Airlines</t>
  </si>
  <si>
    <t>India</t>
  </si>
  <si>
    <t>https://iata.my.salesforce.com/5005J00000ZH5jtQAD</t>
  </si>
  <si>
    <t>Salam Air</t>
  </si>
  <si>
    <t>Sri Lanka</t>
  </si>
  <si>
    <t>https://iata.my.salesforce.com/5005J00000ZH1alQAD</t>
  </si>
  <si>
    <t>https://iata.my.salesforce.com/5005J00000aFrRyQAK</t>
  </si>
  <si>
    <t>Air Arabia</t>
  </si>
  <si>
    <t>https://iata.my.salesforce.com/5005J00000aHsfqQAC</t>
  </si>
  <si>
    <t>Aero Mongolia</t>
  </si>
  <si>
    <t>Japan</t>
  </si>
  <si>
    <t>https://iata.my.salesforce.com/5005J00000azKEqQAM</t>
  </si>
  <si>
    <t>euroairlines</t>
  </si>
  <si>
    <t>Kenya</t>
  </si>
  <si>
    <t>https://iata.my.salesforce.com/5005J00000aHEwGQAW</t>
  </si>
  <si>
    <t>https://iata.my.salesforce.com/5005J00000b0UBLQA2</t>
  </si>
  <si>
    <t>West Air</t>
  </si>
  <si>
    <t>Vietnam</t>
  </si>
  <si>
    <t>https://iata.my.salesforce.com/5005J00000bg6wRQAQ</t>
  </si>
  <si>
    <t>Norse Atlantic Airways AS</t>
  </si>
  <si>
    <t>Greece</t>
  </si>
  <si>
    <t>https://iata.my.salesforce.com/5005J00000bgPBeQAM</t>
  </si>
  <si>
    <t>RwandAir</t>
  </si>
  <si>
    <t>Bangladesh</t>
  </si>
  <si>
    <t>https://iata.my.salesforce.com/5005J00000boiBgQAI</t>
  </si>
  <si>
    <t>Panama</t>
  </si>
  <si>
    <t>https://iata.my.salesforce.com/5005J00000c7b91QAA</t>
  </si>
  <si>
    <t>Austria</t>
  </si>
  <si>
    <t>https://iata.my.salesforce.com/5005J00000c7crZQAQ</t>
  </si>
  <si>
    <t>BermudAir</t>
  </si>
  <si>
    <t>Canada</t>
  </si>
  <si>
    <t>https://iata.my.salesforce.com/5005J00000bms23QAA</t>
  </si>
  <si>
    <t>Jeffrey ROSS</t>
  </si>
  <si>
    <t>Air Antilles</t>
  </si>
  <si>
    <t>Netherlands</t>
  </si>
  <si>
    <t>https://iata.my.salesforce.com/5005J00000c8C7oQAE</t>
  </si>
  <si>
    <t>KM Malta Airlines</t>
  </si>
  <si>
    <t>Italy</t>
  </si>
  <si>
    <t>https://iata.my.salesforce.com/5005J00000cLVhwQAG</t>
  </si>
  <si>
    <t>Air Arabia Abu Dhabi</t>
  </si>
  <si>
    <t>United Arab Emirates</t>
  </si>
  <si>
    <t>https://iata.my.salesforce.com/5005J00000cLtWHQA0</t>
  </si>
  <si>
    <t>Bermuda</t>
  </si>
  <si>
    <t>https://iata.my.salesforce.com/5005J00000cNSBsQAO</t>
  </si>
  <si>
    <t>DHL de Guatemala</t>
  </si>
  <si>
    <t>El Salvador</t>
  </si>
  <si>
    <t>https://iata.my.salesforce.com/5005J00000cYO8oQAG</t>
  </si>
  <si>
    <t>Kam Air</t>
  </si>
  <si>
    <t>https://iata.my.salesforce.com/500c4000001ShCkAAK</t>
  </si>
  <si>
    <t>https://iata.my.salesforce.com/500c4000001Sn8UAAS</t>
  </si>
  <si>
    <t>https://iata.my.salesforce.com/500c4000001SqfqAAC</t>
  </si>
  <si>
    <t>Saudi Arabia</t>
  </si>
  <si>
    <t>https://iata.my.salesforce.com/500c4000001SmsMAAS</t>
  </si>
  <si>
    <t>Turkey</t>
  </si>
  <si>
    <t>Kuwait</t>
  </si>
  <si>
    <t>https://iata.my.salesforce.com/500c4000001Ssg1AAC</t>
  </si>
  <si>
    <t>https://iata.my.salesforce.com/500c4000001WvH7AAK</t>
  </si>
  <si>
    <t>https://iata.my.salesforce.com/500c4000001WwLFAA0</t>
  </si>
  <si>
    <t>Australia</t>
  </si>
  <si>
    <t>https://iata.my.salesforce.com/500c4000001WxKXAA0</t>
  </si>
  <si>
    <t>https://iata.my.salesforce.com/500c4000001Wze5AAC</t>
  </si>
  <si>
    <t>United Kingdom</t>
  </si>
  <si>
    <t>https://iata.my.salesforce.com/500c4000001X0VJAA0</t>
  </si>
  <si>
    <t>JetSMART</t>
  </si>
  <si>
    <t>Colombia</t>
  </si>
  <si>
    <t>https://iata.my.salesforce.com/500c4000001c5kaAAA</t>
  </si>
  <si>
    <t>Croatia Airlines</t>
  </si>
  <si>
    <t>Croatia</t>
  </si>
  <si>
    <t>https://iata.my.salesforce.com/500c4000001uRL9AAM</t>
  </si>
  <si>
    <t>LIAT 2020</t>
  </si>
  <si>
    <t>Antigua and Barbuda</t>
  </si>
  <si>
    <t>https://iata.my.salesforce.com/500c40000028Y9pAAE</t>
  </si>
  <si>
    <t>Uzbekistan Airways</t>
  </si>
  <si>
    <t>Egypt</t>
  </si>
  <si>
    <t>https://iata.my.salesforce.com/500c4000002FKq7AAG</t>
  </si>
  <si>
    <t>South Africa</t>
  </si>
  <si>
    <t>https://iata.my.salesforce.com/500c4000002FSMEAA4</t>
  </si>
  <si>
    <t>FlyArystan</t>
  </si>
  <si>
    <t>https://iata.my.salesforce.com/500c4000002FjbaAAC</t>
  </si>
  <si>
    <t>Arajet</t>
  </si>
  <si>
    <t>Ecuador</t>
  </si>
  <si>
    <t>https://iata.my.salesforce.com/500c4000002dHmDAAU</t>
  </si>
  <si>
    <t>Kenya Airways</t>
  </si>
  <si>
    <t>South Sudan</t>
  </si>
  <si>
    <t>https://iata.my.salesforce.com/500c4000002dFpIAAU</t>
  </si>
  <si>
    <t>Delta Air Lines</t>
  </si>
  <si>
    <t>Thailand</t>
  </si>
  <si>
    <t>https://iata.my.salesforce.com/500c4000002fqzEAAQ</t>
  </si>
  <si>
    <t>Qingdao Airlines</t>
  </si>
  <si>
    <t>https://iata.my.salesforce.com/500c4000002nRAqAAM</t>
  </si>
  <si>
    <t>Uni World Air Cargo</t>
  </si>
  <si>
    <t>Mexico</t>
  </si>
  <si>
    <t>https://iata.my.salesforce.com/500c4000002rvYTAAY</t>
  </si>
  <si>
    <t>Asiana Airlines</t>
  </si>
  <si>
    <t>https://iata.my.salesforce.com/500c4000002yVkYAAU</t>
  </si>
  <si>
    <t>My Freighter</t>
  </si>
  <si>
    <t>Israel</t>
  </si>
  <si>
    <t>https://iata.my.salesforce.com/500c400000366llAAA</t>
  </si>
  <si>
    <t>Allied Air</t>
  </si>
  <si>
    <t>https://iata.my.salesforce.com/500c4000003B6DGAA0</t>
  </si>
  <si>
    <t>Air France</t>
  </si>
  <si>
    <t>Philippines</t>
  </si>
  <si>
    <t>https://iata.my.salesforce.com/500c4000003CRVoAAO</t>
  </si>
  <si>
    <t>Spain &amp; Andorra</t>
  </si>
  <si>
    <t>https://iata.my.salesforce.com/500c4000003DN3VAAW</t>
  </si>
  <si>
    <t>China Postal Airlines</t>
  </si>
  <si>
    <t>Belgium &amp; Luxembourg</t>
  </si>
  <si>
    <t>https://iata.my.salesforce.com/500c4000003FyDSAA0</t>
  </si>
  <si>
    <t>Badr Airlines</t>
  </si>
  <si>
    <t>https://iata.my.salesforce.com/500c4000003GHBFAA4</t>
  </si>
  <si>
    <t>https://iata.my.salesforce.com/500c4000003GDhBAAW</t>
  </si>
  <si>
    <t>Alaska Airlines</t>
  </si>
  <si>
    <t>https://iata.my.salesforce.com/500c4000003H8PJAA0</t>
  </si>
  <si>
    <t>NG Eagle</t>
  </si>
  <si>
    <t>Nigeria</t>
  </si>
  <si>
    <t>https://iata.my.salesforce.com/500c4000003KJw3AAG</t>
  </si>
  <si>
    <t>EL AL</t>
  </si>
  <si>
    <t>https://iata.my.salesforce.com/500c4000003Pw7DAAS</t>
  </si>
  <si>
    <t>https://iata.my.salesforce.com/500c4000003X7k9AAC</t>
  </si>
  <si>
    <t>JetBlue</t>
  </si>
  <si>
    <t>https://iata.my.salesforce.com/500c4000003XqMKAA0</t>
  </si>
  <si>
    <t>https://iata.my.salesforce.com/500c4000003Z3ZCAA0</t>
  </si>
  <si>
    <t>AJet</t>
  </si>
  <si>
    <t>Norway</t>
  </si>
  <si>
    <t>https://iata.my.salesforce.com/500c4000003csAXAAY</t>
  </si>
  <si>
    <t>https://iata.my.salesforce.com/500c4000003cpZHAAY</t>
  </si>
  <si>
    <t>Nile Air</t>
  </si>
  <si>
    <t>https://iata.my.salesforce.com/500c4000003cw7iAAA</t>
  </si>
  <si>
    <t>MIAT Mongolian Airlines</t>
  </si>
  <si>
    <t>https://iata.my.salesforce.com/500c4000003g1PNAAY</t>
  </si>
  <si>
    <t>https://iata.my.salesforce.com/500c4000003qUDBAA2</t>
  </si>
  <si>
    <t>LOT Polish Airlines</t>
  </si>
  <si>
    <t>Malta</t>
  </si>
  <si>
    <t>https://iata.my.salesforce.com/500c4000003qa7JAAQ</t>
  </si>
  <si>
    <t>T'way Air</t>
  </si>
  <si>
    <t>https://iata.my.salesforce.com/500c4000003tkJsAAI</t>
  </si>
  <si>
    <t>Neos</t>
  </si>
  <si>
    <t>https://iata.my.salesforce.com/500c400000446FpAAI</t>
  </si>
  <si>
    <t>Aeromexico</t>
  </si>
  <si>
    <t>https://iata.my.salesforce.com/500c4000004FIvEAAW</t>
  </si>
  <si>
    <t>Vietnam Airlines</t>
  </si>
  <si>
    <t>https://iata.my.salesforce.com/500c4000004GQHCAA4</t>
  </si>
  <si>
    <t>https://iata.my.salesforce.com/500c4000004GteCAAS</t>
  </si>
  <si>
    <t>https://iata.my.salesforce.com/500c4000004HL0yAAG</t>
  </si>
  <si>
    <t>Air Greenland</t>
  </si>
  <si>
    <t>https://iata.my.salesforce.com/500c4000004HRUXAA4</t>
  </si>
  <si>
    <t>Scoot</t>
  </si>
  <si>
    <t>https://iata.my.salesforce.com/500c4000004IUQOAA4</t>
  </si>
  <si>
    <t>Air Serbia</t>
  </si>
  <si>
    <t>https://iata.my.salesforce.com/500c4000004QCeQAAW</t>
  </si>
  <si>
    <t>Hong Kong (SAR), China</t>
  </si>
  <si>
    <t>https://iata.my.salesforce.com/500c4000004U5KvAAK</t>
  </si>
  <si>
    <t>https://iata.my.salesforce.com/500c4000004ZzvxAAC</t>
  </si>
  <si>
    <t>Qatar</t>
  </si>
  <si>
    <t>https://iata.my.salesforce.com/500c4000004ab0QAAQ</t>
  </si>
  <si>
    <t>Air Corsica</t>
  </si>
  <si>
    <t>https://iata.my.salesforce.com/500c4000004cFfiAAE</t>
  </si>
  <si>
    <t>Mercury World Cargo</t>
  </si>
  <si>
    <t>https://iata.my.salesforce.com/500c4000004ct7dAAA</t>
  </si>
  <si>
    <t>https://iata.my.salesforce.com/500c4000004fN84AAE</t>
  </si>
  <si>
    <t>Universal Air</t>
  </si>
  <si>
    <t>https://iata.my.salesforce.com/500c4000004gENiAAM</t>
  </si>
  <si>
    <t>Air Premia</t>
  </si>
  <si>
    <t>https://iata.my.salesforce.com/500c4000004h6XiAAI</t>
  </si>
  <si>
    <t>dba IRYO</t>
  </si>
  <si>
    <t>France</t>
  </si>
  <si>
    <t>https://iata.my.salesforce.com/500c4000004kcmSAAQ</t>
  </si>
  <si>
    <t>https://iata.my.salesforce.com/500c4000004q48VAAQ</t>
  </si>
  <si>
    <t>https://iata.my.salesforce.com/500c4000004qD6wAAE</t>
  </si>
  <si>
    <t>https://iata.my.salesforce.com/500c4000004qCu3AAE</t>
  </si>
  <si>
    <t>https://iata.my.salesforce.com/500c4000004q9WOAAY</t>
  </si>
  <si>
    <t>https://iata.my.salesforce.com/500c4000004ppayAAA</t>
  </si>
  <si>
    <t>Air China</t>
  </si>
  <si>
    <t>Georgia</t>
  </si>
  <si>
    <t>https://iata.my.salesforce.com/500c40000052oE2AAI</t>
  </si>
  <si>
    <t>SCAT Airlines</t>
  </si>
  <si>
    <t>Hungary</t>
  </si>
  <si>
    <t>https://iata.my.salesforce.com/500c4000005DuxaAAC</t>
  </si>
  <si>
    <t>https://iata.my.salesforce.com/500c4000005IihGAAS</t>
  </si>
  <si>
    <t>https://iata.my.salesforce.com/500c4000005KhsRAAS</t>
  </si>
  <si>
    <t>https://iata.my.salesforce.com/500c4000005L6U9AAK</t>
  </si>
  <si>
    <t>Air Europa</t>
  </si>
  <si>
    <t>https://iata.my.salesforce.com/500c4000005P34gAAC</t>
  </si>
  <si>
    <t>American Airlines</t>
  </si>
  <si>
    <t>https://iata.my.salesforce.com/500c4000005WD46AAG</t>
  </si>
  <si>
    <t>Flyadeal</t>
  </si>
  <si>
    <t>https://iata.my.salesforce.com/500c4000005Xq0EAAS</t>
  </si>
  <si>
    <t>Nok Air</t>
  </si>
  <si>
    <t>https://iata.my.salesforce.com/500c4000005b0vqAAA</t>
  </si>
  <si>
    <t>https://iata.my.salesforce.com/500c4000005bAryAAE</t>
  </si>
  <si>
    <t>https://iata.my.salesforce.com/500c4000005bDBWAA2</t>
  </si>
  <si>
    <t>Silk Way West Airlines</t>
  </si>
  <si>
    <t>https://iata.my.salesforce.com/500c4000005eL32AAE</t>
  </si>
  <si>
    <t>Sweden</t>
  </si>
  <si>
    <t>https://iata.my.salesforce.com/500c4000005h20VAAQ</t>
  </si>
  <si>
    <t>Condor</t>
  </si>
  <si>
    <t>Ireland</t>
  </si>
  <si>
    <t>https://iata.my.salesforce.com/500c4000005h1kOAAQ</t>
  </si>
  <si>
    <t>Peru</t>
  </si>
  <si>
    <t>https://iata.my.salesforce.com/500c4000005hgnaAAA</t>
  </si>
  <si>
    <t>Royal Jordanian</t>
  </si>
  <si>
    <t>Morocco</t>
  </si>
  <si>
    <t>https://iata.my.salesforce.com/500c4000005lcBpAAI</t>
  </si>
  <si>
    <t>https://iata.my.salesforce.com/500c4000005lgvNAAQ</t>
  </si>
  <si>
    <t>Pakistan</t>
  </si>
  <si>
    <t>https://iata.my.salesforce.com/500c4000005lYHvAAM</t>
  </si>
  <si>
    <t>https://iata.my.salesforce.com/500c4000005oOYvAAM</t>
  </si>
  <si>
    <t>MEA</t>
  </si>
  <si>
    <t>https://iata.my.salesforce.com/500c4000005owVmAAI</t>
  </si>
  <si>
    <t>ANA</t>
  </si>
  <si>
    <t>https://iata.my.salesforce.com/500c4000005pEHRAA2</t>
  </si>
  <si>
    <t>IndiGo</t>
  </si>
  <si>
    <t>https://iata.my.salesforce.com/500c4000005rJRRAA2</t>
  </si>
  <si>
    <t>https://iata.my.salesforce.com/500c4000005rKDrAAM</t>
  </si>
  <si>
    <t>https://iata.my.salesforce.com/500c4000005s9ecAAA</t>
  </si>
  <si>
    <t>https://iata.my.salesforce.com/500c4000005sA7eAAE</t>
  </si>
  <si>
    <t>ASL Airlines France</t>
  </si>
  <si>
    <t>Kosovo</t>
  </si>
  <si>
    <t>https://iata.my.salesforce.com/500c4000005sPWXAA2</t>
  </si>
  <si>
    <t>Astral</t>
  </si>
  <si>
    <t>https://iata.my.salesforce.com/500c4000005unEYAAY</t>
  </si>
  <si>
    <t>Farrukh RAJPUT</t>
  </si>
  <si>
    <t>https://iata.my.salesforce.com/500c4000005vJStAAM</t>
  </si>
  <si>
    <t>https://iata.my.salesforce.com/500c4000005vcqaAAA</t>
  </si>
  <si>
    <t>Denmark</t>
  </si>
  <si>
    <t>https://iata.my.salesforce.com/500c4000005xB31AAE</t>
  </si>
  <si>
    <t>https://iata.my.salesforce.com/500c4000005xEgnAAE</t>
  </si>
  <si>
    <t>Air Canada</t>
  </si>
  <si>
    <t>Singapore</t>
  </si>
  <si>
    <t>https://iata.my.salesforce.com/500c4000005xo18AAA</t>
  </si>
  <si>
    <t>Air Tindi</t>
  </si>
  <si>
    <t>https://iata.my.salesforce.com/500c4000005xxdtAAA</t>
  </si>
  <si>
    <t>https://iata.my.salesforce.com/500c40000064aZLAAY</t>
  </si>
  <si>
    <t>https://iata.my.salesforce.com/500c40000064gVHAAY</t>
  </si>
  <si>
    <t>Portugal</t>
  </si>
  <si>
    <t>https://iata.my.salesforce.com/500c40000064vlrAAA</t>
  </si>
  <si>
    <t>https://iata.my.salesforce.com/500c4000006AtpTAAS</t>
  </si>
  <si>
    <t>https://iata.my.salesforce.com/500c4000006Hbz4AAC</t>
  </si>
  <si>
    <t>https://iata.my.salesforce.com/500c4000006HwKHAA0</t>
  </si>
  <si>
    <t>Oman</t>
  </si>
  <si>
    <t>https://iata.my.salesforce.com/500c4000006HfwDAAS</t>
  </si>
  <si>
    <t>ITA Airways</t>
  </si>
  <si>
    <t>https://iata.my.salesforce.com/500c4000006OEWEAA4</t>
  </si>
  <si>
    <t>French Polynesia</t>
  </si>
  <si>
    <t>https://iata.my.salesforce.com/500c4000006OsevAAC</t>
  </si>
  <si>
    <t>https://iata.my.salesforce.com/500c4000006QLF4AAO</t>
  </si>
  <si>
    <t>https://iata.my.salesforce.com/500c4000006QV6NAAW</t>
  </si>
  <si>
    <t>Virgin Atlantic</t>
  </si>
  <si>
    <t>https://iata.my.salesforce.com/500c4000006QtBzAAK</t>
  </si>
  <si>
    <t>Ethiopia</t>
  </si>
  <si>
    <t>https://iata.my.salesforce.com/500c4000006SY07AAG</t>
  </si>
  <si>
    <t>Air Algerie</t>
  </si>
  <si>
    <t>https://iata.my.salesforce.com/500c4000006WWKiAAO</t>
  </si>
  <si>
    <t>Czechia</t>
  </si>
  <si>
    <t>https://iata.my.salesforce.com/500c4000006aiNGAAY</t>
  </si>
  <si>
    <t>Indonesia</t>
  </si>
  <si>
    <t>https://iata.my.salesforce.com/500c4000006d1vFAAQ</t>
  </si>
  <si>
    <t>STARLUX Airlines</t>
  </si>
  <si>
    <t>https://iata.my.salesforce.com/500c4000006dDOXAA2</t>
  </si>
  <si>
    <t>French Bee</t>
  </si>
  <si>
    <t>https://iata.my.salesforce.com/500c4000006k0b8AAA</t>
  </si>
  <si>
    <t>Eastar Jet</t>
  </si>
  <si>
    <t>Kazakhstan</t>
  </si>
  <si>
    <t>https://iata.my.salesforce.com/500c4000006qBIUAA2</t>
  </si>
  <si>
    <t>Aircalin</t>
  </si>
  <si>
    <t>https://iata.my.salesforce.com/500c4000006vwNCAAY</t>
  </si>
  <si>
    <t>SWISS</t>
  </si>
  <si>
    <t>https://iata.my.salesforce.com/500c4000006x7gSAAQ</t>
  </si>
  <si>
    <t>Royal Air Maroc</t>
  </si>
  <si>
    <t>https://iata.my.salesforce.com/500c40000070LbdAAE</t>
  </si>
  <si>
    <t>China Eastern</t>
  </si>
  <si>
    <t>https://iata.my.salesforce.com/500c40000072kVtAAI</t>
  </si>
  <si>
    <t>Challenge Air Cargo Ltd</t>
  </si>
  <si>
    <t>https://iata.my.salesforce.com/500c4000007DIuPAAW</t>
  </si>
  <si>
    <t>https://iata.my.salesforce.com/500c4000007LAq5AAG</t>
  </si>
  <si>
    <t>flydubai</t>
  </si>
  <si>
    <t>https://iata.my.salesforce.com/500c4000007TXpQAAW</t>
  </si>
  <si>
    <t>Iberojet Airlines</t>
  </si>
  <si>
    <t>CASS Domestic - Member</t>
  </si>
  <si>
    <t>https://iata.my.salesforce.com/500c4000007TfILAA0</t>
  </si>
  <si>
    <t>GOL Linhas Aereas</t>
  </si>
  <si>
    <t>https://iata.my.salesforce.com/500c4000007U0poAAC</t>
  </si>
  <si>
    <t>Africa World Airlines</t>
  </si>
  <si>
    <t>Burkina Faso</t>
  </si>
  <si>
    <t>https://iata.my.salesforce.com/500c4000007awkcAAA</t>
  </si>
  <si>
    <t>SkyAlps SRL</t>
  </si>
  <si>
    <t>https://iata.my.salesforce.com/500c4000007b1MAAAY</t>
  </si>
  <si>
    <t>https://iata.my.salesforce.com/500c4000007b2N1AAI</t>
  </si>
  <si>
    <t>Bosnia and Herzegovina</t>
  </si>
  <si>
    <t>https://iata.my.salesforce.com/500c4000007bI0NAAU</t>
  </si>
  <si>
    <t>https://iata.my.salesforce.com/500c4000007bII6AAM</t>
  </si>
  <si>
    <t>Switzerland &amp; Liechtenstein</t>
  </si>
  <si>
    <t>https://iata.my.salesforce.com/500c4000007bKbdAAE</t>
  </si>
  <si>
    <t>https://iata.my.salesforce.com/500c4000007bKq9AAE</t>
  </si>
  <si>
    <t>https://iata.my.salesforce.com/500c4000007bK5OAAU</t>
  </si>
  <si>
    <t>https://iata.my.salesforce.com/500c4000007b6SKAAY</t>
  </si>
  <si>
    <t>https://iata.my.salesforce.com/500c4000007b2i3AAA</t>
  </si>
  <si>
    <t>https://iata.my.salesforce.com/500c4000007b6goAAA</t>
  </si>
  <si>
    <t>Aegean Airlines</t>
  </si>
  <si>
    <t>https://iata.my.salesforce.com/500c4000007bNCxAAM</t>
  </si>
  <si>
    <t>Madagascar Airlines</t>
  </si>
  <si>
    <t>https://iata.my.salesforce.com/500c4000007dfiQAAQ</t>
  </si>
  <si>
    <t>https://iata.my.salesforce.com/500c4000007dl4fAAA</t>
  </si>
  <si>
    <t>https://iata.my.salesforce.com/500c4000007dXctAAE</t>
  </si>
  <si>
    <t>https://iata.my.salesforce.com/500c4000007drGXAAY</t>
  </si>
  <si>
    <t>https://iata.my.salesforce.com/500c4000007duj3AAA</t>
  </si>
  <si>
    <t>https://iata.my.salesforce.com/500c4000007e5L7AAI</t>
  </si>
  <si>
    <t>https://iata.my.salesforce.com/500c4000007e6QrAAI</t>
  </si>
  <si>
    <t>https://iata.my.salesforce.com/500c4000007djPVAAY</t>
  </si>
  <si>
    <t>https://iata.my.salesforce.com/500c4000007dtbsAAA</t>
  </si>
  <si>
    <t>https://iata.my.salesforce.com/500c4000007eAJBAA2</t>
  </si>
  <si>
    <t>Romania &amp; Moldova</t>
  </si>
  <si>
    <t>https://iata.my.salesforce.com/500c4000007eBvBAAU</t>
  </si>
  <si>
    <t>FitsAir</t>
  </si>
  <si>
    <t>https://iata.my.salesforce.com/500c4000007fx3LAAQ</t>
  </si>
  <si>
    <t>Maldivian</t>
  </si>
  <si>
    <t>People's Republic of China</t>
  </si>
  <si>
    <t>https://iata.my.salesforce.com/500c4000007i87aAAA</t>
  </si>
  <si>
    <t>https://iata.my.salesforce.com/500c4000007l1r5AAA</t>
  </si>
  <si>
    <t>https://iata.my.salesforce.com/500c4000007oQkyAAE</t>
  </si>
  <si>
    <t>Malaysia</t>
  </si>
  <si>
    <t>https://iata.my.salesforce.com/500c4000007sr3KAAQ</t>
  </si>
  <si>
    <t>https://iata.my.salesforce.com/500c4000007sbJbAAI</t>
  </si>
  <si>
    <t>https://iata.my.salesforce.com/500c4000007smBjAAI</t>
  </si>
  <si>
    <t>https://iata.my.salesforce.com/500c4000007sfDfAAI</t>
  </si>
  <si>
    <t>https://iata.my.salesforce.com/500c4000007sy9fAAA</t>
  </si>
  <si>
    <t>https://iata.my.salesforce.com/500c4000007sxTiAAI</t>
  </si>
  <si>
    <t>https://iata.my.salesforce.com/500c4000007sxzyAAA</t>
  </si>
  <si>
    <t>https://iata.my.salesforce.com/500c4000007t0eTAAQ</t>
  </si>
  <si>
    <t>Qatar Airways</t>
  </si>
  <si>
    <t>Sierra Leone</t>
  </si>
  <si>
    <t>https://iata.my.salesforce.com/500c4000007sufeAAA</t>
  </si>
  <si>
    <t>https://iata.my.salesforce.com/500c4000007ty1AAAQ</t>
  </si>
  <si>
    <t>https://iata.my.salesforce.com/500c4000007uCNVAA2</t>
  </si>
  <si>
    <t>https://iata.my.salesforce.com/500c4000007zNy9AAE</t>
  </si>
  <si>
    <t>LATAM Airlines Group</t>
  </si>
  <si>
    <t>https://iata.my.salesforce.com/500c4000008Btz5AAC</t>
  </si>
  <si>
    <t>Armenia</t>
  </si>
  <si>
    <t>https://iata.my.salesforce.com/500c4000008FUFnAAO</t>
  </si>
  <si>
    <t>Air Transat</t>
  </si>
  <si>
    <t>https://iata.my.salesforce.com/500c4000008FfxZAAS</t>
  </si>
  <si>
    <t>Hebei Airlines</t>
  </si>
  <si>
    <t>https://iata.my.salesforce.com/500c4000008IBd7AAG</t>
  </si>
  <si>
    <t>Fastjet Zimbabwe</t>
  </si>
  <si>
    <t>Mozambique</t>
  </si>
  <si>
    <t>https://iata.my.salesforce.com/500c4000008IUawAAG</t>
  </si>
  <si>
    <t>Brazil</t>
  </si>
  <si>
    <t>https://iata.my.salesforce.com/500c4000008RTxNAAW</t>
  </si>
  <si>
    <t>https://iata.my.salesforce.com/500c4000008TF79AAG</t>
  </si>
  <si>
    <t>Ethiopian Airlines</t>
  </si>
  <si>
    <t>Uruguay</t>
  </si>
  <si>
    <t>https://iata.my.salesforce.com/500c4000008Xo6HAAS</t>
  </si>
  <si>
    <t>Iceland</t>
  </si>
  <si>
    <t>https://iata.my.salesforce.com/500c4000008XtCPAA0</t>
  </si>
  <si>
    <t>https://iata.my.salesforce.com/500c4000008Xev2AAC</t>
  </si>
  <si>
    <t>https://iata.my.salesforce.com/500c4000008ZShaAAG</t>
  </si>
  <si>
    <t>https://iata.my.salesforce.com/500c4000008bdaWAAQ</t>
  </si>
  <si>
    <t>Japan Airlines</t>
  </si>
  <si>
    <t>https://iata.my.salesforce.com/500c4000008jPLpAAM</t>
  </si>
  <si>
    <t>Jin Air</t>
  </si>
  <si>
    <t>Mongolia</t>
  </si>
  <si>
    <t>https://iata.my.salesforce.com/500c4000008kMyfAAE</t>
  </si>
  <si>
    <t>EVA Air</t>
  </si>
  <si>
    <t>https://iata.my.salesforce.com/500c4000008kgcLAAQ</t>
  </si>
  <si>
    <t>Flexflight</t>
  </si>
  <si>
    <t>https://iata.my.salesforce.com/500c4000008rQChAAM</t>
  </si>
  <si>
    <t>https://iata.my.salesforce.com/500c4000008tVPxAAM</t>
  </si>
  <si>
    <t>TransNusa</t>
  </si>
  <si>
    <t>https://iata.my.salesforce.com/500c4000008v5fvAAA</t>
  </si>
  <si>
    <t>Trinidad and Tobago</t>
  </si>
  <si>
    <t>https://iata.my.salesforce.com/500c40000098QoBAAU</t>
  </si>
  <si>
    <t>https://iata.my.salesforce.com/500c40000090BpXAAU</t>
  </si>
  <si>
    <t>Barbados</t>
  </si>
  <si>
    <t>https://iata.my.salesforce.com/500c400000901f4AAA</t>
  </si>
  <si>
    <t>https://iata.my.salesforce.com/500c40000096n8yAAA</t>
  </si>
  <si>
    <t>https://iata.my.salesforce.com/500c40000097SdmAAE</t>
  </si>
  <si>
    <t>Jamaica</t>
  </si>
  <si>
    <t>AIRZETA</t>
  </si>
  <si>
    <t>https://iata.my.salesforce.com/500c400000BTqrKAAT</t>
  </si>
  <si>
    <t>https://iata.my.salesforce.com/500c4000009CIlbAAG</t>
  </si>
  <si>
    <t>https://iata.my.salesforce.com/500c4000009CRGzAAO</t>
  </si>
  <si>
    <t>https://iata.my.salesforce.com/500c4000009CHj5AAG</t>
  </si>
  <si>
    <t>https://iata.my.salesforce.com/500c4000009CAPuAAO</t>
  </si>
  <si>
    <t>https://iata.my.salesforce.com/500c4000009CIQdAAO</t>
  </si>
  <si>
    <t>https://iata.my.salesforce.com/500c4000009CLwMAAW</t>
  </si>
  <si>
    <t>https://iata.my.salesforce.com/500c4000009CGv5AAG</t>
  </si>
  <si>
    <t>https://iata.my.salesforce.com/500c4000009CSeTAAW</t>
  </si>
  <si>
    <t>https://iata.my.salesforce.com/500c4000009CSo9AAG</t>
  </si>
  <si>
    <t>SOLITAIR AVIATION SERVICES DWC-LLC</t>
  </si>
  <si>
    <t>https://iata.my.salesforce.com/500c4000009G20hAAC</t>
  </si>
  <si>
    <t>https://iata.my.salesforce.com/500c4000009HSPJAA4</t>
  </si>
  <si>
    <t>https://iata.my.salesforce.com/500c4000009HfSzAAK</t>
  </si>
  <si>
    <t>DHL Air</t>
  </si>
  <si>
    <t>https://iata.my.salesforce.com/500c4000009Qy3YAAS</t>
  </si>
  <si>
    <t>Commercial Aviation Services</t>
  </si>
  <si>
    <t>Chile</t>
  </si>
  <si>
    <t>https://iata.my.salesforce.com/500c4000009SJyfAAG</t>
  </si>
  <si>
    <t>https://iata.my.salesforce.com/500c4000009UPTeAAO</t>
  </si>
  <si>
    <t>TAP Air Portugal</t>
  </si>
  <si>
    <t>Poland</t>
  </si>
  <si>
    <t>https://iata.my.salesforce.com/500c4000009iDm1AAE</t>
  </si>
  <si>
    <t>Thai Vietjet Air</t>
  </si>
  <si>
    <t>Cambodia</t>
  </si>
  <si>
    <t>https://iata.my.salesforce.com/500c4000009kmKmAAI</t>
  </si>
  <si>
    <t>https://iata.my.salesforce.com/500c4000009lORXAA2</t>
  </si>
  <si>
    <t>Air Baltic</t>
  </si>
  <si>
    <t>https://iata.my.salesforce.com/500c4000009lEOxAAM</t>
  </si>
  <si>
    <t>https://iata.my.salesforce.com/500c4000009oZDWAA2</t>
  </si>
  <si>
    <t>https://iata.my.salesforce.com/500c4000009uwfKAAQ</t>
  </si>
  <si>
    <t>Qanot Sharq</t>
  </si>
  <si>
    <t>https://iata.my.salesforce.com/500c4000009wOZRAA2</t>
  </si>
  <si>
    <t>Guyana</t>
  </si>
  <si>
    <t>https://iata.my.salesforce.com/500c4000009wgsyAAA</t>
  </si>
  <si>
    <t>China Cargo Airlines</t>
  </si>
  <si>
    <t>https://iata.my.salesforce.com/500c4000009yDjbAAE</t>
  </si>
  <si>
    <t>https://iata.my.salesforce.com/500c4000009yNsbAAE</t>
  </si>
  <si>
    <t>Hainan Airlines</t>
  </si>
  <si>
    <t>https://iata.my.salesforce.com/500c4000009yYmSAAU</t>
  </si>
  <si>
    <t>https://iata.my.salesforce.com/500c400000A16TuAAJ</t>
  </si>
  <si>
    <t>Hahnair</t>
  </si>
  <si>
    <t>https://iata.my.salesforce.com/500c400000A4Y8jAAF</t>
  </si>
  <si>
    <t>https://iata.my.salesforce.com/500c400000AC2I7AAL</t>
  </si>
  <si>
    <t>Air Tanzania</t>
  </si>
  <si>
    <t>https://iata.my.salesforce.com/500c400000ADTuZAAX</t>
  </si>
  <si>
    <t>Saint Kitts and Nevis</t>
  </si>
  <si>
    <t>https://iata.my.salesforce.com/500c400000AEolcAAD</t>
  </si>
  <si>
    <t>Dominica</t>
  </si>
  <si>
    <t>https://iata.my.salesforce.com/500c400000AEnhSAAT</t>
  </si>
  <si>
    <t>Saint Lucia</t>
  </si>
  <si>
    <t>https://iata.my.salesforce.com/500c400000AEyrNAAT</t>
  </si>
  <si>
    <t>Greater Bay Airlines</t>
  </si>
  <si>
    <t>https://iata.my.salesforce.com/500c400000AIJpfAAH</t>
  </si>
  <si>
    <t>Côte d'Ivoire</t>
  </si>
  <si>
    <t>https://iata.my.salesforce.com/500c400000AIPQQAA5</t>
  </si>
  <si>
    <t>Serbia</t>
  </si>
  <si>
    <t>https://iata.my.salesforce.com/500c400000AIuE6AAL</t>
  </si>
  <si>
    <t>Air New Zealand</t>
  </si>
  <si>
    <t>https://iata.my.salesforce.com/500c400000AJ3VtAAL</t>
  </si>
  <si>
    <t>Loong Air</t>
  </si>
  <si>
    <t>https://iata.my.salesforce.com/500c400000AKdp6AAD</t>
  </si>
  <si>
    <t>https://iata.my.salesforce.com/500c400000AKZLfAAP</t>
  </si>
  <si>
    <t>Niger</t>
  </si>
  <si>
    <t>https://iata.my.salesforce.com/500c400000ALwCxAAL</t>
  </si>
  <si>
    <t>Saint Vincent and the Grenadines</t>
  </si>
  <si>
    <t>https://iata.my.salesforce.com/500c400000APeO2AAL</t>
  </si>
  <si>
    <t>Saint Maarten</t>
  </si>
  <si>
    <t>https://iata.my.salesforce.com/500c400000APYTrAAP</t>
  </si>
  <si>
    <t>Grenada</t>
  </si>
  <si>
    <t>https://iata.my.salesforce.com/500c400000APlcHAAT</t>
  </si>
  <si>
    <t>Benin</t>
  </si>
  <si>
    <t>https://iata.my.salesforce.com/500c400000ATRVJAA5</t>
  </si>
  <si>
    <t>FlyGabon</t>
  </si>
  <si>
    <t>https://iata.my.salesforce.com/500c400000AV0hCAAT</t>
  </si>
  <si>
    <t>Bahamas</t>
  </si>
  <si>
    <t>https://iata.my.salesforce.com/500c400000AVUKDAA5</t>
  </si>
  <si>
    <t>Juneyao Airlines</t>
  </si>
  <si>
    <t>https://iata.my.salesforce.com/500c400000AVfIsAAL</t>
  </si>
  <si>
    <t>https://iata.my.salesforce.com/500c400000AXkCnAAL</t>
  </si>
  <si>
    <t>https://iata.my.salesforce.com/500c400000AZJTRAA5</t>
  </si>
  <si>
    <t>Atlas Air</t>
  </si>
  <si>
    <t>https://iata.my.salesforce.com/500c400000Ab0g3AAB</t>
  </si>
  <si>
    <t>https://iata.my.salesforce.com/500c400000AcS0nAAF</t>
  </si>
  <si>
    <t>https://iata.my.salesforce.com/500c400000ApBRtAAN</t>
  </si>
  <si>
    <t>Senegal</t>
  </si>
  <si>
    <t>https://iata.my.salesforce.com/500c400000AozYwAAJ</t>
  </si>
  <si>
    <t>Togo</t>
  </si>
  <si>
    <t>https://iata.my.salesforce.com/500c400000Ap4rsAAB</t>
  </si>
  <si>
    <t>Cameroon</t>
  </si>
  <si>
    <t>https://iata.my.salesforce.com/500c400000AooiGAAR</t>
  </si>
  <si>
    <t>Chad</t>
  </si>
  <si>
    <t>https://iata.my.salesforce.com/500c400000ApRDJAA3</t>
  </si>
  <si>
    <t>Druk Air</t>
  </si>
  <si>
    <t>https://iata.my.salesforce.com/500c400000Ayz7hAAB</t>
  </si>
  <si>
    <t>https://iata.my.salesforce.com/500c400000AzpRLAAZ</t>
  </si>
  <si>
    <t>https://iata.my.salesforce.com/500c400000B01nOAAR</t>
  </si>
  <si>
    <t>https://iata.my.salesforce.com/500c400000AzsU1AAJ</t>
  </si>
  <si>
    <t>https://iata.my.salesforce.com/500c400000B05kXAAR</t>
  </si>
  <si>
    <t>https://iata.my.salesforce.com/500c400000AzqK9AAJ</t>
  </si>
  <si>
    <t>Macau SAR, China</t>
  </si>
  <si>
    <t>https://iata.my.salesforce.com/500c400000B079dAAB</t>
  </si>
  <si>
    <t>https://iata.my.salesforce.com/500c400000B07rBAAR</t>
  </si>
  <si>
    <t>https://iata.my.salesforce.com/500c400000AzxWvAAJ</t>
  </si>
  <si>
    <t>https://iata.my.salesforce.com/500c400000B08iPAAR</t>
  </si>
  <si>
    <t>https://iata.my.salesforce.com/500c400000B02d0AAB</t>
  </si>
  <si>
    <t>https://iata.my.salesforce.com/500c400000B0mHeAAJ</t>
  </si>
  <si>
    <t>https://iata.my.salesforce.com/500c400000B2GSCAA3</t>
  </si>
  <si>
    <t>Dominican Republic</t>
  </si>
  <si>
    <t>https://iata.my.salesforce.com/500c400000B2dOmAAJ</t>
  </si>
  <si>
    <t>https://iata.my.salesforce.com/500c400000B7CxiAAF</t>
  </si>
  <si>
    <t>Fly Vaayu</t>
  </si>
  <si>
    <t>https://iata.my.salesforce.com/500c400000BAM4CAAX</t>
  </si>
  <si>
    <t>https://iata.my.salesforce.com/500c400000BImXiAAL</t>
  </si>
  <si>
    <t>https://iata.my.salesforce.com/500c400000BLrz8AAD</t>
  </si>
  <si>
    <t>https://iata.my.salesforce.com/500c400000BOBvMAAX</t>
  </si>
  <si>
    <t>KLM</t>
  </si>
  <si>
    <t>https://iata.my.salesforce.com/500c400000BUDccAAH</t>
  </si>
  <si>
    <t>https://iata.my.salesforce.com/500c400000BUUghAAH</t>
  </si>
  <si>
    <t>https://iata.my.salesforce.com/500c400000BZR3pAAH</t>
  </si>
  <si>
    <t>https://iata.my.salesforce.com/500c400000BpxcPAAR</t>
  </si>
  <si>
    <t>Skyward Express</t>
  </si>
  <si>
    <t>https://iata.my.salesforce.com/500c400000BuxyNAAR</t>
  </si>
  <si>
    <t>https://iata.my.salesforce.com/500c400000C2LcaAAF</t>
  </si>
  <si>
    <t>United Nigeria Airlines</t>
  </si>
  <si>
    <t>Ghana</t>
  </si>
  <si>
    <t>https://iata.my.salesforce.com/500c400000C3WHOAA3</t>
  </si>
  <si>
    <t>Myanmar Airways International</t>
  </si>
  <si>
    <t>https://iata.my.salesforce.com/500c400000C5rw1AAB</t>
  </si>
  <si>
    <t>Hong Kong Airlines</t>
  </si>
  <si>
    <t>Nepal</t>
  </si>
  <si>
    <t>https://iata.my.salesforce.com/500c400000C6Ch7AAF</t>
  </si>
  <si>
    <t>Bond Air Cargo, LLC</t>
  </si>
  <si>
    <t>https://iata.my.salesforce.com/500c400000CAnztAAD</t>
  </si>
  <si>
    <t>https://iata.my.salesforce.com/500c400000CECopAAH</t>
  </si>
  <si>
    <t>Airlink</t>
  </si>
  <si>
    <t>https://iata.my.salesforce.com/500c400000CL5yiAAD</t>
  </si>
  <si>
    <t>https://iata.my.salesforce.com/500c400000CNYYNAA5</t>
  </si>
  <si>
    <t>Jordan</t>
  </si>
  <si>
    <t>https://iata.my.salesforce.com/500c400000CZbU4AAL</t>
  </si>
  <si>
    <t>https://iata.my.salesforce.com/500c400000COWflAAH</t>
  </si>
  <si>
    <t>https://iata.my.salesforce.com/500c400000CPLNKAA5</t>
  </si>
  <si>
    <t>https://iata.my.salesforce.com/500c400000CPh4UAAT</t>
  </si>
  <si>
    <t>https://iata.my.salesforce.com/500c400000CPsPhAAL</t>
  </si>
  <si>
    <t>https://iata.my.salesforce.com/500c400000CQUWcAAP</t>
  </si>
  <si>
    <t>https://iata.my.salesforce.com/500c400000CTn86AAD</t>
  </si>
  <si>
    <t>https://iata.my.salesforce.com/500c400000CZloNAAT</t>
  </si>
  <si>
    <t>https://iata.my.salesforce.com/500c400000CZhrCAAT</t>
  </si>
  <si>
    <t>Lebanon</t>
  </si>
  <si>
    <t>https://iata.my.salesforce.com/500c400000CZd7hAAD</t>
  </si>
  <si>
    <t>Tanzania, United Republic of</t>
  </si>
  <si>
    <t>https://iata.my.salesforce.com/500c400000CZcOaAAL</t>
  </si>
  <si>
    <t>https://iata.my.salesforce.com/500c400000CZuQDAA1</t>
  </si>
  <si>
    <t>https://iata.my.salesforce.com/500c400000Cc2oIAAR</t>
  </si>
  <si>
    <t>https://iata.my.salesforce.com/500c400000CjbJ4AAJ</t>
  </si>
  <si>
    <t>https://iata.my.salesforce.com/500c400000CjmPsAAJ</t>
  </si>
  <si>
    <t>https://iata.my.salesforce.com/500c400000CjrHNAAZ</t>
  </si>
  <si>
    <t>https://iata.my.salesforce.com/500c400000CjmMbAAJ</t>
  </si>
  <si>
    <t>https://iata.my.salesforce.com/500c400000CjrMDAAZ</t>
  </si>
  <si>
    <t>https://iata.my.salesforce.com/500c400000CjrR3AAJ</t>
  </si>
  <si>
    <t>https://iata.my.salesforce.com/500c400000CjjACAAZ</t>
  </si>
  <si>
    <t>https://iata.my.salesforce.com/500c400000CkxNyAAJ</t>
  </si>
  <si>
    <t>https://iata.my.salesforce.com/500c400000ClHcpAAF</t>
  </si>
  <si>
    <t>https://iata.my.salesforce.com/500c400000ClX02AAF</t>
  </si>
  <si>
    <t>https://iata.my.salesforce.com/500c400000Cn8vGAAR</t>
  </si>
  <si>
    <t>https://iata.my.salesforce.com/500c400000CwyZbAAJ</t>
  </si>
  <si>
    <t>https://iata.my.salesforce.com/500c400000Cy1ojAAB</t>
  </si>
  <si>
    <t>https://iata.my.salesforce.com/500c400000CyQVQAA3</t>
  </si>
  <si>
    <t>https://iata.my.salesforce.com/500c400000D55vdAAB</t>
  </si>
  <si>
    <t>https://iata.my.salesforce.com/500c400000D7Y0jAAF</t>
  </si>
  <si>
    <t>https://iata.my.salesforce.com/500c400000DDfnVAAT</t>
  </si>
  <si>
    <t>Guatemala</t>
  </si>
  <si>
    <t>https://iata.my.salesforce.com/500c400000DJX42AAH</t>
  </si>
  <si>
    <t>Cargolux</t>
  </si>
  <si>
    <t>https://iata.my.salesforce.com/500c400000DL5y5AAD</t>
  </si>
  <si>
    <t>Czech Republic &amp; Slovakia</t>
  </si>
  <si>
    <t>https://iata.my.salesforce.com/500c400000DL0gjAAD</t>
  </si>
  <si>
    <t>https://iata.my.salesforce.com/500c400000DQ9EfAAL</t>
  </si>
  <si>
    <t>https://iata.my.salesforce.com/500c400000DSrQFAA1</t>
  </si>
  <si>
    <t>Intercaribbean Airways</t>
  </si>
  <si>
    <t>https://iata.my.salesforce.com/500c400000DTqdHAAT</t>
  </si>
  <si>
    <t>https://iata.my.salesforce.com/500c400000DWJbAAAX</t>
  </si>
  <si>
    <t>https://iata.my.salesforce.com/500c400000DZvOyAAL</t>
  </si>
  <si>
    <t>Air Cote d'Ivoire</t>
  </si>
  <si>
    <t>https://iata.my.salesforce.com/500c400000DjovfAAB</t>
  </si>
  <si>
    <t>Riyadh Air</t>
  </si>
  <si>
    <t>https://iata.my.salesforce.com/500c400000DnczAAAR</t>
  </si>
  <si>
    <t>https://iata.my.salesforce.com/500c400000DkFmBAAV</t>
  </si>
  <si>
    <t>https://iata.my.salesforce.com/500c400000E14skAAB</t>
  </si>
  <si>
    <t>https://iata.my.salesforce.com/500c400000E23UqAAJ</t>
  </si>
  <si>
    <t>https://iata.my.salesforce.com/500c400000E5BnaAAF</t>
  </si>
  <si>
    <t>Finland</t>
  </si>
  <si>
    <t>https://iata.my.salesforce.com/500c400000EEeFHAA1</t>
  </si>
  <si>
    <t>https://iata.my.salesforce.com/500c400000ELRoQAAX</t>
  </si>
  <si>
    <t>Animawings</t>
  </si>
  <si>
    <t>https://iata.my.salesforce.com/500c400000Eo2jMAAR</t>
  </si>
  <si>
    <t>https://iata.my.salesforce.com/500c400000ELudTAAT</t>
  </si>
  <si>
    <t>https://iata.my.salesforce.com/500c400000EWlmyAAD</t>
  </si>
  <si>
    <t>https://iata.my.salesforce.com/500c400000EZyAxAAL</t>
  </si>
  <si>
    <t>https://iata.my.salesforce.com/500c400000Ei2Z9AAJ</t>
  </si>
  <si>
    <t>https://iata.my.salesforce.com/500c400000EjtBgAAJ</t>
  </si>
  <si>
    <t>https://iata.my.salesforce.com/500c400000Eo37WAAR</t>
  </si>
  <si>
    <t>https://iata.my.salesforce.com/500c400000Eo5fmAAB</t>
  </si>
  <si>
    <t>https://iata.my.salesforce.com/500c400000Eo45FAAR</t>
  </si>
  <si>
    <t>https://iata.my.salesforce.com/500c400000Et94JAAR</t>
  </si>
  <si>
    <t>https://iata.my.salesforce.com/500c400000Etae5AAB</t>
  </si>
  <si>
    <t>https://iata.my.salesforce.com/500c400000EtXY2AAN</t>
  </si>
  <si>
    <t>https://iata.my.salesforce.com/500c400000EtjE9AAJ</t>
  </si>
  <si>
    <t>https://iata.my.salesforce.com/500c400000EvdnpAAB</t>
  </si>
  <si>
    <t>Aercaribe</t>
  </si>
  <si>
    <t>https://iata.my.salesforce.com/500c400000F9db5AAB</t>
  </si>
  <si>
    <t>https://iata.my.salesforce.com/500c400000FDwASAA1</t>
  </si>
  <si>
    <t>https://iata.my.salesforce.com/500c400000FECDcAAP</t>
  </si>
  <si>
    <t>https://iata.my.salesforce.com/500c400000FFNtLAAX</t>
  </si>
  <si>
    <t>Etihad Airways</t>
  </si>
  <si>
    <t>https://iata.my.salesforce.com/500c400000FKA4DAAX</t>
  </si>
  <si>
    <t>https://iata.my.salesforce.com/500c400000FSgNHAA1</t>
  </si>
  <si>
    <t>Saudi Arabian Airlines</t>
  </si>
  <si>
    <t>https://iata.my.salesforce.com/500c400000FfPEoAAN</t>
  </si>
  <si>
    <t>https://iata.my.salesforce.com/500c400000Fivl8AAB</t>
  </si>
  <si>
    <t>https://iata.my.salesforce.com/500c400000Focj0AAB</t>
  </si>
  <si>
    <t>https://iata.my.salesforce.com/500c400000FmQm0AAF</t>
  </si>
  <si>
    <t>https://iata.my.salesforce.com/500c400000FmZ2sAAF</t>
  </si>
  <si>
    <t>https://iata.my.salesforce.com/500c400000FmlC6AAJ</t>
  </si>
  <si>
    <t>https://iata.my.salesforce.com/500c400000FobtNAAR</t>
  </si>
  <si>
    <t>https://iata.my.salesforce.com/500c400000FoVb6AAF</t>
  </si>
  <si>
    <t>Bulgaria</t>
  </si>
  <si>
    <t>https://iata.my.salesforce.com/500c400000FoYYzAAN</t>
  </si>
  <si>
    <t>Mauritius</t>
  </si>
  <si>
    <t>https://iata.my.salesforce.com/500c400000FrzfpAAB</t>
  </si>
  <si>
    <t>Tunisia</t>
  </si>
  <si>
    <t>https://iata.my.salesforce.com/500c400000FxgVhAAJ</t>
  </si>
  <si>
    <t>https://iata.my.salesforce.com/500c400000G6zScAAJ</t>
  </si>
  <si>
    <t>https://iata.my.salesforce.com/500c400000GMebuAAD</t>
  </si>
  <si>
    <t>https://iata.my.salesforce.com/500c400000GMha4AAD</t>
  </si>
  <si>
    <t>https://iata.my.salesforce.com/500c400000GPUuXAAX</t>
  </si>
  <si>
    <t>https://iata.my.salesforce.com/500c400000GQ8rzAAD</t>
  </si>
  <si>
    <t>https://iata.my.salesforce.com/500c400000GhBOnAAN</t>
  </si>
  <si>
    <t>Column1</t>
  </si>
  <si>
    <t>Is in GDC?</t>
  </si>
  <si>
    <t>18107918</t>
  </si>
  <si>
    <t>18150169</t>
  </si>
  <si>
    <t>18164396</t>
  </si>
  <si>
    <t>18170114</t>
  </si>
  <si>
    <t>18304842</t>
  </si>
  <si>
    <t>18304881</t>
  </si>
  <si>
    <t>18374573</t>
  </si>
  <si>
    <t>18460894</t>
  </si>
  <si>
    <t>18636300</t>
  </si>
  <si>
    <t>Is in WH report?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</si>
</sst>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"/>
    <numFmt numFmtId="165" formatCode="0.00%;\-0.00%;0.00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1" xfId="0" applyNumberFormat="1" applyBorder="1"/>
    <xf numFmtId="49" fontId="1" fillId="0" borderId="0" xfId="0" applyNumberFormat="1" applyFon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65" formatCode="0.00%;\-0.00%;0.00%"/>
    </dxf>
    <dxf>
      <numFmt numFmtId="164" formatCode="mmm\ yy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E31ECC-8608-413F-98AF-751CB1BC1C08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Case Number" tableColumnId="1"/>
      <queryTableField id="13" dataBound="0" tableColumnId="13"/>
      <queryTableField id="2" name="WH Name" tableColumnId="2"/>
      <queryTableField id="3" name="Account Name" tableColumnId="3"/>
      <queryTableField id="4" name="Country" tableColumnId="4"/>
      <queryTableField id="5" name="Reason" tableColumnId="5"/>
      <queryTableField id="6" name="Closed Date" tableColumnId="6"/>
      <queryTableField id="7" name="Parent link" tableColumnId="7"/>
      <queryTableField id="8" name="Case link" tableColumnId="8"/>
      <queryTableField id="9" name="Average of Process Age" tableColumnId="9"/>
      <queryTableField id="10" name="Closed_by_Role__c" tableColumnId="10"/>
      <queryTableField id="11" name="CaseArea__c" tableColumnId="11"/>
      <queryTableField id="12" name="RecordType__c" tableColumnId="12"/>
      <queryTableField id="14" dataBound="0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9E4CB6-11F5-4242-B066-7D0772062B51}" name="Table2" displayName="Table2" ref="A1:J374" totalsRowShown="0" headerRowBorderDxfId="16">
  <autoFilter ref="A1:J374" xr:uid="{C59E4CB6-11F5-4242-B066-7D0772062B51}">
    <filterColumn colId="1">
      <filters>
        <filter val="#N/A"/>
      </filters>
    </filterColumn>
  </autoFilter>
  <tableColumns count="10">
    <tableColumn id="1" xr3:uid="{D8038717-3A94-4C04-8E03-4C0EF8757037}" name="CaseNumber" dataDxfId="13"/>
    <tableColumn id="10" xr3:uid="{BB271CF6-821A-434D-880C-5DDD298BAC26}" name="Is in WH report?" dataDxfId="0">
      <calculatedColumnFormula>VLOOKUP(Table2[[#This Row],[CaseNumber]],WH_Data[Case Number],1,FALSE)</calculatedColumnFormula>
    </tableColumn>
    <tableColumn id="2" xr3:uid="{8A6B61C1-4CFB-467E-B9CD-F4B0FC588BD8}" name="Region__c"/>
    <tableColumn id="3" xr3:uid="{414E2F59-58D1-405C-82DB-F3D44B55559E}" name="ClosedDate" dataDxfId="15"/>
    <tableColumn id="4" xr3:uid="{0CCE63EF-3624-4FE8-AB77-B48AE281695F}" name="Airline Joining ISS within 15 days" dataDxfId="14"/>
    <tableColumn id="5" xr3:uid="{89D7BEAF-E20A-4B0F-A6A8-0A49E047A4E2}" name="Exception__c"/>
    <tableColumn id="6" xr3:uid="{E62925A9-E354-4DEA-AA25-F8C3618B9A40}" name="Process"/>
    <tableColumn id="7" xr3:uid="{1B391FB3-65E0-45CA-A96A-8909296A70DC}" name="Reason1__c"/>
    <tableColumn id="8" xr3:uid="{713A932C-D106-4A18-B7C2-AD0F84500A74}" name="Closed_by_Role__c"/>
    <tableColumn id="9" xr3:uid="{3DAC57F9-AFF1-45D1-ABEA-F39E9C289119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3B42C-C834-4D36-851F-6D23DC0C5FA9}" name="WH_Data" displayName="WH_Data" ref="A1:N377" tableType="queryTable" totalsRowShown="0">
  <autoFilter ref="A1:N377" xr:uid="{5DB3B42C-C834-4D36-851F-6D23DC0C5FA9}">
    <filterColumn colId="1">
      <filters>
        <filter val="#N/A"/>
      </filters>
    </filterColumn>
  </autoFilter>
  <tableColumns count="14">
    <tableColumn id="1" xr3:uid="{90CFD86F-B5B4-4E20-914A-F9031DECD2A3}" uniqueName="1" name="Case Number" queryTableFieldId="1" dataDxfId="1"/>
    <tableColumn id="13" xr3:uid="{481EBD77-F01B-4AF5-9E43-4F696473295E}" uniqueName="13" name="Is in GDC?" queryTableFieldId="13">
      <calculatedColumnFormula>VLOOKUP(WH_Data[[#This Row],[Case Number]],Table2[[CaseNumber]:[Region__c]],1,FALSE)</calculatedColumnFormula>
    </tableColumn>
    <tableColumn id="2" xr3:uid="{A7EB8F94-FA9D-4FBD-A927-F9D773710E6D}" uniqueName="2" name="WH Name" queryTableFieldId="2" dataDxfId="12"/>
    <tableColumn id="3" xr3:uid="{3A443399-F2CF-4E23-ADD6-D3AE0CAB274F}" uniqueName="3" name="Account Name" queryTableFieldId="3" dataDxfId="11"/>
    <tableColumn id="4" xr3:uid="{61EDDA63-CCF0-42AD-85E6-73C77AA8DB78}" uniqueName="4" name="Country" queryTableFieldId="4" dataDxfId="10"/>
    <tableColumn id="5" xr3:uid="{DFDC820B-4E1C-408A-ADA1-4C383017F6FA}" uniqueName="5" name="Reason" queryTableFieldId="5" dataDxfId="9"/>
    <tableColumn id="6" xr3:uid="{449DEC21-EC18-4CA9-B875-A79DF2E1658C}" uniqueName="6" name="Closed Date" queryTableFieldId="6" dataDxfId="8"/>
    <tableColumn id="7" xr3:uid="{74FD9D29-ECC9-4A63-94A7-C1606F94ACF1}" uniqueName="7" name="Parent link" queryTableFieldId="7" dataDxfId="7"/>
    <tableColumn id="8" xr3:uid="{F89D37D2-4B94-4AA5-B1C1-FB188E0F1D83}" uniqueName="8" name="Case link" queryTableFieldId="8" dataDxfId="6"/>
    <tableColumn id="9" xr3:uid="{304A5C6F-DAB1-4F1C-9A98-B31927C66952}" uniqueName="9" name="Average of Process Age" queryTableFieldId="9"/>
    <tableColumn id="10" xr3:uid="{C36918FA-AD10-4DD0-9B89-86220E886183}" uniqueName="10" name="Closed_by_Role__c" queryTableFieldId="10" dataDxfId="5"/>
    <tableColumn id="11" xr3:uid="{A98F4437-30B9-4BB5-B823-90D64BFC5447}" uniqueName="11" name="CaseArea__c" queryTableFieldId="11" dataDxfId="4"/>
    <tableColumn id="12" xr3:uid="{D8E99990-BFEE-4C95-AF08-5A402083DB25}" uniqueName="12" name="RecordType__c" queryTableFieldId="12" dataDxfId="3"/>
    <tableColumn id="14" xr3:uid="{04EB8457-8614-460A-A7AB-CAC59D2A57C8}" uniqueName="14" name="Column1" queryTableFieldId="14" dataDxfId="2">
      <calculatedColumnFormula>ISNUMBER(WH_Data[[#This Row],[Case Number]])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6"/>
  <sheetViews>
    <sheetView workbookViewId="0">
      <selection activeCell="A10" sqref="A10"/>
    </sheetView>
  </sheetViews>
  <sheetFormatPr defaultRowHeight="14.5"/>
  <cols>
    <col min="1" max="1" width="41.7265625" style="9" bestFit="1" customWidth="1"/>
    <col min="2" max="2" width="41.7265625" style="9" customWidth="1"/>
    <col min="3" max="3" width="16.81640625" bestFit="1" customWidth="1"/>
    <col min="4" max="4" width="12.54296875" customWidth="1"/>
    <col min="5" max="5" width="29.81640625" customWidth="1"/>
    <col min="6" max="6" width="13.7265625" customWidth="1"/>
    <col min="7" max="7" width="14.1796875" bestFit="1" customWidth="1"/>
    <col min="8" max="8" width="30.36328125" bestFit="1" customWidth="1"/>
    <col min="9" max="9" width="20.08984375" bestFit="1" customWidth="1"/>
  </cols>
  <sheetData>
    <row r="1" spans="1:10">
      <c r="A1" s="10" t="s">
        <v>0</v>
      </c>
      <c r="B1" s="10" t="s">
        <v>1050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1039</v>
      </c>
    </row>
    <row r="2" spans="1:10" hidden="1">
      <c r="A2" s="9" t="s">
        <v>8</v>
      </c>
      <c r="B2" s="7" t="str">
        <f>VLOOKUP(Table2[[#This Row],[CaseNumber]],WH_Data[Case Number],1,FALSE)</f>
        <v>16418233</v>
      </c>
      <c r="C2" t="s">
        <v>9</v>
      </c>
      <c r="D2" s="3">
        <v>45737.578750000001</v>
      </c>
      <c r="E2" s="4">
        <v>0</v>
      </c>
      <c r="G2" t="s">
        <v>10</v>
      </c>
      <c r="H2" t="s">
        <v>11</v>
      </c>
      <c r="I2" t="s">
        <v>12</v>
      </c>
      <c r="J2" t="b">
        <f>ISNUMBER(Table2[[#This Row],[CaseNumber]])</f>
        <v>0</v>
      </c>
    </row>
    <row r="3" spans="1:10">
      <c r="A3" s="9" t="s">
        <v>13</v>
      </c>
      <c r="B3" s="7" t="e">
        <f>VLOOKUP(Table2[[#This Row],[CaseNumber]],WH_Data[Case Number],1,FALSE)</f>
        <v>#N/A</v>
      </c>
      <c r="C3" t="s">
        <v>14</v>
      </c>
      <c r="D3" s="3">
        <v>45749.543240740742</v>
      </c>
      <c r="E3" s="4">
        <v>0</v>
      </c>
      <c r="G3" t="s">
        <v>10</v>
      </c>
      <c r="H3" t="s">
        <v>15</v>
      </c>
      <c r="I3" t="s">
        <v>12</v>
      </c>
    </row>
    <row r="4" spans="1:10" hidden="1">
      <c r="A4" s="9" t="s">
        <v>16</v>
      </c>
      <c r="B4" s="7" t="str">
        <f>VLOOKUP(Table2[[#This Row],[CaseNumber]],WH_Data[Case Number],1,FALSE)</f>
        <v>17235772</v>
      </c>
      <c r="C4" t="s">
        <v>9</v>
      </c>
      <c r="D4" s="3">
        <v>45764.599953703706</v>
      </c>
      <c r="E4" s="4">
        <v>1</v>
      </c>
      <c r="G4" t="s">
        <v>10</v>
      </c>
      <c r="H4" t="s">
        <v>17</v>
      </c>
      <c r="I4" t="s">
        <v>12</v>
      </c>
    </row>
    <row r="5" spans="1:10" hidden="1">
      <c r="A5" s="9" t="s">
        <v>18</v>
      </c>
      <c r="B5" s="7" t="str">
        <f>VLOOKUP(Table2[[#This Row],[CaseNumber]],WH_Data[Case Number],1,FALSE)</f>
        <v>17451797</v>
      </c>
      <c r="C5" t="s">
        <v>9</v>
      </c>
      <c r="D5" s="3">
        <v>45938.601979166669</v>
      </c>
      <c r="E5" s="4">
        <v>1</v>
      </c>
      <c r="G5" t="s">
        <v>10</v>
      </c>
      <c r="H5" t="s">
        <v>19</v>
      </c>
      <c r="I5" t="s">
        <v>12</v>
      </c>
    </row>
    <row r="6" spans="1:10" hidden="1">
      <c r="A6" s="9" t="s">
        <v>20</v>
      </c>
      <c r="B6" s="7" t="str">
        <f>VLOOKUP(Table2[[#This Row],[CaseNumber]],WH_Data[Case Number],1,FALSE)</f>
        <v>17551158</v>
      </c>
      <c r="C6" t="s">
        <v>21</v>
      </c>
      <c r="D6" s="3">
        <v>45807.599166666667</v>
      </c>
      <c r="E6" s="4">
        <v>0</v>
      </c>
      <c r="G6" t="s">
        <v>10</v>
      </c>
      <c r="H6" t="s">
        <v>11</v>
      </c>
      <c r="I6" t="s">
        <v>12</v>
      </c>
    </row>
    <row r="7" spans="1:10" hidden="1">
      <c r="A7" s="9" t="s">
        <v>22</v>
      </c>
      <c r="B7" s="7" t="str">
        <f>VLOOKUP(Table2[[#This Row],[CaseNumber]],WH_Data[Case Number],1,FALSE)</f>
        <v>18015189</v>
      </c>
      <c r="C7" t="s">
        <v>23</v>
      </c>
      <c r="D7" s="3">
        <v>45681.453981481478</v>
      </c>
      <c r="E7" s="4">
        <v>0</v>
      </c>
      <c r="G7" t="s">
        <v>10</v>
      </c>
      <c r="H7" t="s">
        <v>17</v>
      </c>
      <c r="I7" t="s">
        <v>12</v>
      </c>
    </row>
    <row r="8" spans="1:10">
      <c r="A8" s="9" t="s">
        <v>24</v>
      </c>
      <c r="B8" s="7" t="e">
        <f>VLOOKUP(Table2[[#This Row],[CaseNumber]],WH_Data[Case Number],1,FALSE)</f>
        <v>#N/A</v>
      </c>
      <c r="C8" t="s">
        <v>14</v>
      </c>
      <c r="D8" s="3">
        <v>45887.681608796294</v>
      </c>
      <c r="E8" s="4">
        <v>0</v>
      </c>
      <c r="G8" t="s">
        <v>10</v>
      </c>
      <c r="H8" t="s">
        <v>15</v>
      </c>
      <c r="I8" t="s">
        <v>12</v>
      </c>
    </row>
    <row r="9" spans="1:10">
      <c r="A9" s="9" t="s">
        <v>25</v>
      </c>
      <c r="B9" s="7" t="e">
        <f>VLOOKUP(Table2[[#This Row],[CaseNumber]],WH_Data[Case Number],1,FALSE)</f>
        <v>#N/A</v>
      </c>
      <c r="C9" t="s">
        <v>14</v>
      </c>
      <c r="D9" s="3">
        <v>45841.837488425925</v>
      </c>
      <c r="E9" s="4">
        <v>1</v>
      </c>
      <c r="G9" t="s">
        <v>10</v>
      </c>
      <c r="H9" t="s">
        <v>19</v>
      </c>
      <c r="I9" t="s">
        <v>12</v>
      </c>
    </row>
    <row r="10" spans="1:10">
      <c r="A10" s="9" t="s">
        <v>26</v>
      </c>
      <c r="B10" s="7" t="e">
        <f>VLOOKUP(Table2[[#This Row],[CaseNumber]],WH_Data[Case Number],1,FALSE)</f>
        <v>#N/A</v>
      </c>
      <c r="C10" t="s">
        <v>14</v>
      </c>
      <c r="D10" s="3">
        <v>45927.337962962964</v>
      </c>
      <c r="E10" s="4">
        <v>1</v>
      </c>
      <c r="G10" t="s">
        <v>10</v>
      </c>
      <c r="H10" t="s">
        <v>15</v>
      </c>
      <c r="I10" t="s">
        <v>12</v>
      </c>
    </row>
    <row r="11" spans="1:10" hidden="1">
      <c r="A11" s="9" t="s">
        <v>27</v>
      </c>
      <c r="B11" s="7" t="str">
        <f>VLOOKUP(Table2[[#This Row],[CaseNumber]],WH_Data[Case Number],1,FALSE)</f>
        <v>18871664</v>
      </c>
      <c r="C11" t="s">
        <v>14</v>
      </c>
      <c r="D11" s="3">
        <v>45953.64603009259</v>
      </c>
      <c r="E11" s="4">
        <v>1</v>
      </c>
      <c r="G11" t="s">
        <v>10</v>
      </c>
      <c r="H11" t="s">
        <v>11</v>
      </c>
      <c r="I11" t="s">
        <v>12</v>
      </c>
    </row>
    <row r="12" spans="1:10" hidden="1">
      <c r="A12" s="9" t="s">
        <v>28</v>
      </c>
      <c r="B12" s="7" t="str">
        <f>VLOOKUP(Table2[[#This Row],[CaseNumber]],WH_Data[Case Number],1,FALSE)</f>
        <v>15757133</v>
      </c>
      <c r="C12" t="s">
        <v>29</v>
      </c>
      <c r="D12" s="3">
        <v>45687.629502314812</v>
      </c>
      <c r="E12" s="4">
        <v>0</v>
      </c>
      <c r="G12" t="s">
        <v>10</v>
      </c>
      <c r="H12" t="s">
        <v>17</v>
      </c>
      <c r="I12" t="s">
        <v>30</v>
      </c>
    </row>
    <row r="13" spans="1:10" hidden="1">
      <c r="A13" s="9" t="s">
        <v>31</v>
      </c>
      <c r="B13" s="7" t="str">
        <f>VLOOKUP(Table2[[#This Row],[CaseNumber]],WH_Data[Case Number],1,FALSE)</f>
        <v>15777747</v>
      </c>
      <c r="C13" t="s">
        <v>23</v>
      </c>
      <c r="D13" s="3">
        <v>45722.350104166668</v>
      </c>
      <c r="E13" s="4">
        <v>0</v>
      </c>
      <c r="G13" t="s">
        <v>10</v>
      </c>
      <c r="H13" t="s">
        <v>17</v>
      </c>
      <c r="I13" t="s">
        <v>30</v>
      </c>
    </row>
    <row r="14" spans="1:10" hidden="1">
      <c r="A14" s="9" t="s">
        <v>32</v>
      </c>
      <c r="B14" s="7" t="str">
        <f>VLOOKUP(Table2[[#This Row],[CaseNumber]],WH_Data[Case Number],1,FALSE)</f>
        <v>16475546</v>
      </c>
      <c r="C14" t="s">
        <v>29</v>
      </c>
      <c r="D14" s="3">
        <v>45729.736817129633</v>
      </c>
      <c r="E14" s="4">
        <v>1</v>
      </c>
      <c r="G14" t="s">
        <v>10</v>
      </c>
      <c r="H14" t="s">
        <v>19</v>
      </c>
      <c r="I14" t="s">
        <v>30</v>
      </c>
    </row>
    <row r="15" spans="1:10" hidden="1">
      <c r="A15" s="9" t="s">
        <v>33</v>
      </c>
      <c r="B15" s="7" t="str">
        <f>VLOOKUP(Table2[[#This Row],[CaseNumber]],WH_Data[Case Number],1,FALSE)</f>
        <v>16675332</v>
      </c>
      <c r="C15" t="s">
        <v>29</v>
      </c>
      <c r="D15" s="3">
        <v>45702.668437499997</v>
      </c>
      <c r="E15" s="4">
        <v>0</v>
      </c>
      <c r="G15" t="s">
        <v>10</v>
      </c>
      <c r="H15" t="s">
        <v>11</v>
      </c>
      <c r="I15" t="s">
        <v>30</v>
      </c>
    </row>
    <row r="16" spans="1:10" hidden="1">
      <c r="A16" s="9" t="s">
        <v>34</v>
      </c>
      <c r="B16" s="7" t="str">
        <f>VLOOKUP(Table2[[#This Row],[CaseNumber]],WH_Data[Case Number],1,FALSE)</f>
        <v>16781935</v>
      </c>
      <c r="C16" t="s">
        <v>29</v>
      </c>
      <c r="D16" s="3">
        <v>45729.447662037041</v>
      </c>
      <c r="E16" s="4">
        <v>1</v>
      </c>
      <c r="G16" t="s">
        <v>10</v>
      </c>
      <c r="H16" t="s">
        <v>19</v>
      </c>
      <c r="I16" t="s">
        <v>30</v>
      </c>
    </row>
    <row r="17" spans="1:9" hidden="1">
      <c r="A17" s="9" t="s">
        <v>35</v>
      </c>
      <c r="B17" s="7" t="str">
        <f>VLOOKUP(Table2[[#This Row],[CaseNumber]],WH_Data[Case Number],1,FALSE)</f>
        <v>16851147</v>
      </c>
      <c r="C17" t="s">
        <v>29</v>
      </c>
      <c r="D17" s="3">
        <v>45733.799780092595</v>
      </c>
      <c r="E17" s="4">
        <v>1</v>
      </c>
      <c r="G17" t="s">
        <v>10</v>
      </c>
      <c r="H17" t="s">
        <v>17</v>
      </c>
      <c r="I17" t="s">
        <v>30</v>
      </c>
    </row>
    <row r="18" spans="1:9" hidden="1">
      <c r="A18" s="9" t="s">
        <v>36</v>
      </c>
      <c r="B18" s="7" t="str">
        <f>VLOOKUP(Table2[[#This Row],[CaseNumber]],WH_Data[Case Number],1,FALSE)</f>
        <v>16903015</v>
      </c>
      <c r="C18" t="s">
        <v>21</v>
      </c>
      <c r="D18" s="3">
        <v>45810.392905092594</v>
      </c>
      <c r="E18" s="4">
        <v>1</v>
      </c>
      <c r="G18" t="s">
        <v>10</v>
      </c>
      <c r="H18" t="s">
        <v>17</v>
      </c>
      <c r="I18" t="s">
        <v>30</v>
      </c>
    </row>
    <row r="19" spans="1:9" hidden="1">
      <c r="A19" s="9" t="s">
        <v>37</v>
      </c>
      <c r="B19" s="7" t="str">
        <f>VLOOKUP(Table2[[#This Row],[CaseNumber]],WH_Data[Case Number],1,FALSE)</f>
        <v>17077696</v>
      </c>
      <c r="C19" t="s">
        <v>29</v>
      </c>
      <c r="D19" s="3">
        <v>45741.906585648147</v>
      </c>
      <c r="E19" s="4">
        <v>0</v>
      </c>
      <c r="G19" t="s">
        <v>10</v>
      </c>
      <c r="H19" t="s">
        <v>11</v>
      </c>
      <c r="I19" t="s">
        <v>30</v>
      </c>
    </row>
    <row r="20" spans="1:9" hidden="1">
      <c r="A20" s="9" t="s">
        <v>38</v>
      </c>
      <c r="B20" s="7" t="str">
        <f>VLOOKUP(Table2[[#This Row],[CaseNumber]],WH_Data[Case Number],1,FALSE)</f>
        <v>17091255</v>
      </c>
      <c r="C20" t="s">
        <v>9</v>
      </c>
      <c r="D20" s="3">
        <v>45807.733680555553</v>
      </c>
      <c r="E20" s="4">
        <v>0</v>
      </c>
      <c r="G20" t="s">
        <v>10</v>
      </c>
      <c r="H20" t="s">
        <v>15</v>
      </c>
      <c r="I20" t="s">
        <v>30</v>
      </c>
    </row>
    <row r="21" spans="1:9" hidden="1">
      <c r="A21" s="9" t="s">
        <v>39</v>
      </c>
      <c r="B21" s="7" t="str">
        <f>VLOOKUP(Table2[[#This Row],[CaseNumber]],WH_Data[Case Number],1,FALSE)</f>
        <v>17164226</v>
      </c>
      <c r="C21" t="s">
        <v>29</v>
      </c>
      <c r="D21" s="3">
        <v>45755.309918981482</v>
      </c>
      <c r="E21" s="4">
        <v>1</v>
      </c>
      <c r="G21" t="s">
        <v>10</v>
      </c>
      <c r="H21" t="s">
        <v>11</v>
      </c>
      <c r="I21" t="s">
        <v>30</v>
      </c>
    </row>
    <row r="22" spans="1:9" hidden="1">
      <c r="A22" s="9" t="s">
        <v>40</v>
      </c>
      <c r="B22" s="7" t="str">
        <f>VLOOKUP(Table2[[#This Row],[CaseNumber]],WH_Data[Case Number],1,FALSE)</f>
        <v>17183325</v>
      </c>
      <c r="C22" t="s">
        <v>14</v>
      </c>
      <c r="D22" s="3">
        <v>45748.273263888892</v>
      </c>
      <c r="E22" s="4">
        <v>1</v>
      </c>
      <c r="G22" t="s">
        <v>10</v>
      </c>
      <c r="H22" t="s">
        <v>17</v>
      </c>
      <c r="I22" t="s">
        <v>30</v>
      </c>
    </row>
    <row r="23" spans="1:9" hidden="1">
      <c r="A23" s="9" t="s">
        <v>41</v>
      </c>
      <c r="B23" s="7" t="str">
        <f>VLOOKUP(Table2[[#This Row],[CaseNumber]],WH_Data[Case Number],1,FALSE)</f>
        <v>17185017</v>
      </c>
      <c r="C23" t="s">
        <v>9</v>
      </c>
      <c r="D23" s="3">
        <v>45749.224317129629</v>
      </c>
      <c r="E23" s="4">
        <v>1</v>
      </c>
      <c r="G23" t="s">
        <v>10</v>
      </c>
      <c r="H23" t="s">
        <v>17</v>
      </c>
      <c r="I23" t="s">
        <v>30</v>
      </c>
    </row>
    <row r="24" spans="1:9" hidden="1">
      <c r="A24" s="9" t="s">
        <v>42</v>
      </c>
      <c r="B24" s="7" t="str">
        <f>VLOOKUP(Table2[[#This Row],[CaseNumber]],WH_Data[Case Number],1,FALSE)</f>
        <v>17214350</v>
      </c>
      <c r="C24" t="s">
        <v>14</v>
      </c>
      <c r="D24" s="3">
        <v>45699.640439814815</v>
      </c>
      <c r="E24" s="4">
        <v>1</v>
      </c>
      <c r="G24" t="s">
        <v>10</v>
      </c>
      <c r="H24" t="s">
        <v>17</v>
      </c>
      <c r="I24" t="s">
        <v>30</v>
      </c>
    </row>
    <row r="25" spans="1:9" hidden="1">
      <c r="A25" s="9" t="s">
        <v>43</v>
      </c>
      <c r="B25" s="7" t="str">
        <f>VLOOKUP(Table2[[#This Row],[CaseNumber]],WH_Data[Case Number],1,FALSE)</f>
        <v>17246396</v>
      </c>
      <c r="C25" t="s">
        <v>9</v>
      </c>
      <c r="D25" s="3">
        <v>45853.56459490741</v>
      </c>
      <c r="E25" s="4">
        <v>1</v>
      </c>
      <c r="G25" t="s">
        <v>10</v>
      </c>
      <c r="H25" t="s">
        <v>44</v>
      </c>
      <c r="I25" t="s">
        <v>30</v>
      </c>
    </row>
    <row r="26" spans="1:9" hidden="1">
      <c r="A26" s="9" t="s">
        <v>45</v>
      </c>
      <c r="B26" s="7" t="str">
        <f>VLOOKUP(Table2[[#This Row],[CaseNumber]],WH_Data[Case Number],1,FALSE)</f>
        <v>17263839</v>
      </c>
      <c r="C26" t="s">
        <v>21</v>
      </c>
      <c r="D26" s="3">
        <v>45734.590405092589</v>
      </c>
      <c r="E26" s="4">
        <v>1</v>
      </c>
      <c r="G26" t="s">
        <v>10</v>
      </c>
      <c r="H26" t="s">
        <v>46</v>
      </c>
      <c r="I26" t="s">
        <v>30</v>
      </c>
    </row>
    <row r="27" spans="1:9" hidden="1">
      <c r="A27" s="9" t="s">
        <v>47</v>
      </c>
      <c r="B27" s="7" t="str">
        <f>VLOOKUP(Table2[[#This Row],[CaseNumber]],WH_Data[Case Number],1,FALSE)</f>
        <v>17322311</v>
      </c>
      <c r="C27" t="s">
        <v>14</v>
      </c>
      <c r="D27" s="3">
        <v>45699.651354166665</v>
      </c>
      <c r="E27" s="4">
        <v>1</v>
      </c>
      <c r="G27" t="s">
        <v>10</v>
      </c>
      <c r="H27" t="s">
        <v>17</v>
      </c>
      <c r="I27" t="s">
        <v>30</v>
      </c>
    </row>
    <row r="28" spans="1:9" hidden="1">
      <c r="A28" s="9" t="s">
        <v>48</v>
      </c>
      <c r="B28" s="7" t="str">
        <f>VLOOKUP(Table2[[#This Row],[CaseNumber]],WH_Data[Case Number],1,FALSE)</f>
        <v>17365716</v>
      </c>
      <c r="C28" t="s">
        <v>14</v>
      </c>
      <c r="D28" s="3">
        <v>45685.626956018517</v>
      </c>
      <c r="E28" s="4">
        <v>1</v>
      </c>
      <c r="G28" t="s">
        <v>10</v>
      </c>
      <c r="H28" t="s">
        <v>46</v>
      </c>
      <c r="I28" t="s">
        <v>30</v>
      </c>
    </row>
    <row r="29" spans="1:9" hidden="1">
      <c r="A29" s="9" t="s">
        <v>49</v>
      </c>
      <c r="B29" s="7" t="str">
        <f>VLOOKUP(Table2[[#This Row],[CaseNumber]],WH_Data[Case Number],1,FALSE)</f>
        <v>17396088</v>
      </c>
      <c r="C29" t="s">
        <v>21</v>
      </c>
      <c r="D29" s="3">
        <v>45667.739803240744</v>
      </c>
      <c r="E29" s="4">
        <v>1</v>
      </c>
      <c r="G29" t="s">
        <v>10</v>
      </c>
      <c r="H29" t="s">
        <v>11</v>
      </c>
      <c r="I29" t="s">
        <v>30</v>
      </c>
    </row>
    <row r="30" spans="1:9" hidden="1">
      <c r="A30" s="9" t="s">
        <v>50</v>
      </c>
      <c r="B30" s="7" t="str">
        <f>VLOOKUP(Table2[[#This Row],[CaseNumber]],WH_Data[Case Number],1,FALSE)</f>
        <v>17396236</v>
      </c>
      <c r="C30" t="s">
        <v>29</v>
      </c>
      <c r="D30" s="3">
        <v>45667.739756944444</v>
      </c>
      <c r="E30" s="4">
        <v>1</v>
      </c>
      <c r="G30" t="s">
        <v>10</v>
      </c>
      <c r="H30" t="s">
        <v>11</v>
      </c>
      <c r="I30" t="s">
        <v>30</v>
      </c>
    </row>
    <row r="31" spans="1:9" hidden="1">
      <c r="A31" s="9" t="s">
        <v>51</v>
      </c>
      <c r="B31" s="7" t="str">
        <f>VLOOKUP(Table2[[#This Row],[CaseNumber]],WH_Data[Case Number],1,FALSE)</f>
        <v>17396247</v>
      </c>
      <c r="C31" t="s">
        <v>21</v>
      </c>
      <c r="D31" s="3">
        <v>45667.739699074074</v>
      </c>
      <c r="E31" s="4">
        <v>1</v>
      </c>
      <c r="G31" t="s">
        <v>10</v>
      </c>
      <c r="H31" t="s">
        <v>11</v>
      </c>
      <c r="I31" t="s">
        <v>30</v>
      </c>
    </row>
    <row r="32" spans="1:9" hidden="1">
      <c r="A32" s="9" t="s">
        <v>52</v>
      </c>
      <c r="B32" s="7" t="str">
        <f>VLOOKUP(Table2[[#This Row],[CaseNumber]],WH_Data[Case Number],1,FALSE)</f>
        <v>17396259</v>
      </c>
      <c r="C32" t="s">
        <v>9</v>
      </c>
      <c r="D32" s="3">
        <v>45667.739895833336</v>
      </c>
      <c r="E32" s="4">
        <v>1</v>
      </c>
      <c r="G32" t="s">
        <v>10</v>
      </c>
      <c r="H32" t="s">
        <v>11</v>
      </c>
      <c r="I32" t="s">
        <v>30</v>
      </c>
    </row>
    <row r="33" spans="1:9" hidden="1">
      <c r="A33" s="9" t="s">
        <v>53</v>
      </c>
      <c r="B33" s="7" t="str">
        <f>VLOOKUP(Table2[[#This Row],[CaseNumber]],WH_Data[Case Number],1,FALSE)</f>
        <v>17396274</v>
      </c>
      <c r="C33" t="s">
        <v>21</v>
      </c>
      <c r="D33" s="3">
        <v>45667.739641203705</v>
      </c>
      <c r="E33" s="4">
        <v>1</v>
      </c>
      <c r="G33" t="s">
        <v>10</v>
      </c>
      <c r="H33" t="s">
        <v>11</v>
      </c>
      <c r="I33" t="s">
        <v>30</v>
      </c>
    </row>
    <row r="34" spans="1:9" hidden="1">
      <c r="A34" s="9" t="s">
        <v>54</v>
      </c>
      <c r="B34" s="7" t="str">
        <f>VLOOKUP(Table2[[#This Row],[CaseNumber]],WH_Data[Case Number],1,FALSE)</f>
        <v>17403943</v>
      </c>
      <c r="C34" t="s">
        <v>9</v>
      </c>
      <c r="D34" s="3">
        <v>45667.739571759259</v>
      </c>
      <c r="E34" s="4">
        <v>1</v>
      </c>
      <c r="G34" t="s">
        <v>10</v>
      </c>
      <c r="H34" t="s">
        <v>11</v>
      </c>
      <c r="I34" t="s">
        <v>30</v>
      </c>
    </row>
    <row r="35" spans="1:9" hidden="1">
      <c r="A35" s="9" t="s">
        <v>55</v>
      </c>
      <c r="B35" s="7" t="str">
        <f>VLOOKUP(Table2[[#This Row],[CaseNumber]],WH_Data[Case Number],1,FALSE)</f>
        <v>17403955</v>
      </c>
      <c r="C35" t="s">
        <v>14</v>
      </c>
      <c r="D35" s="3">
        <v>45687.610601851855</v>
      </c>
      <c r="E35" s="4">
        <v>0</v>
      </c>
      <c r="G35" t="s">
        <v>10</v>
      </c>
      <c r="H35" t="s">
        <v>11</v>
      </c>
      <c r="I35" t="s">
        <v>30</v>
      </c>
    </row>
    <row r="36" spans="1:9" hidden="1">
      <c r="A36" s="9" t="s">
        <v>56</v>
      </c>
      <c r="B36" s="7" t="str">
        <f>VLOOKUP(Table2[[#This Row],[CaseNumber]],WH_Data[Case Number],1,FALSE)</f>
        <v>17403967</v>
      </c>
      <c r="C36" t="s">
        <v>29</v>
      </c>
      <c r="D36" s="3">
        <v>45667.73945601852</v>
      </c>
      <c r="E36" s="4">
        <v>1</v>
      </c>
      <c r="G36" t="s">
        <v>10</v>
      </c>
      <c r="H36" t="s">
        <v>11</v>
      </c>
      <c r="I36" t="s">
        <v>30</v>
      </c>
    </row>
    <row r="37" spans="1:9" hidden="1">
      <c r="A37" s="9" t="s">
        <v>57</v>
      </c>
      <c r="B37" s="7" t="str">
        <f>VLOOKUP(Table2[[#This Row],[CaseNumber]],WH_Data[Case Number],1,FALSE)</f>
        <v>17403987</v>
      </c>
      <c r="C37" t="s">
        <v>9</v>
      </c>
      <c r="D37" s="3">
        <v>45687.610671296294</v>
      </c>
      <c r="E37" s="4">
        <v>0</v>
      </c>
      <c r="G37" t="s">
        <v>10</v>
      </c>
      <c r="H37" t="s">
        <v>11</v>
      </c>
      <c r="I37" t="s">
        <v>30</v>
      </c>
    </row>
    <row r="38" spans="1:9" hidden="1">
      <c r="A38" s="9" t="s">
        <v>58</v>
      </c>
      <c r="B38" s="7" t="str">
        <f>VLOOKUP(Table2[[#This Row],[CaseNumber]],WH_Data[Case Number],1,FALSE)</f>
        <v>17403994</v>
      </c>
      <c r="C38" t="s">
        <v>9</v>
      </c>
      <c r="D38" s="3">
        <v>45667.73940972222</v>
      </c>
      <c r="E38" s="4">
        <v>1</v>
      </c>
      <c r="G38" t="s">
        <v>10</v>
      </c>
      <c r="H38" t="s">
        <v>11</v>
      </c>
      <c r="I38" t="s">
        <v>30</v>
      </c>
    </row>
    <row r="39" spans="1:9" hidden="1">
      <c r="A39" s="9" t="s">
        <v>59</v>
      </c>
      <c r="B39" s="7" t="str">
        <f>VLOOKUP(Table2[[#This Row],[CaseNumber]],WH_Data[Case Number],1,FALSE)</f>
        <v>17413262</v>
      </c>
      <c r="C39" t="s">
        <v>14</v>
      </c>
      <c r="D39" s="3">
        <v>45783.382650462961</v>
      </c>
      <c r="E39" s="4">
        <v>0</v>
      </c>
      <c r="G39" t="s">
        <v>10</v>
      </c>
      <c r="H39" t="s">
        <v>17</v>
      </c>
      <c r="I39" t="s">
        <v>30</v>
      </c>
    </row>
    <row r="40" spans="1:9" hidden="1">
      <c r="A40" s="9" t="s">
        <v>60</v>
      </c>
      <c r="B40" s="7" t="str">
        <f>VLOOKUP(Table2[[#This Row],[CaseNumber]],WH_Data[Case Number],1,FALSE)</f>
        <v>17486131</v>
      </c>
      <c r="C40" t="s">
        <v>14</v>
      </c>
      <c r="D40" s="3">
        <v>45660.305706018517</v>
      </c>
      <c r="E40" s="4">
        <v>1</v>
      </c>
      <c r="G40" t="s">
        <v>10</v>
      </c>
      <c r="H40" t="s">
        <v>17</v>
      </c>
      <c r="I40" t="s">
        <v>30</v>
      </c>
    </row>
    <row r="41" spans="1:9" hidden="1">
      <c r="A41" s="9" t="s">
        <v>61</v>
      </c>
      <c r="B41" s="7" t="str">
        <f>VLOOKUP(Table2[[#This Row],[CaseNumber]],WH_Data[Case Number],1,FALSE)</f>
        <v>17499458</v>
      </c>
      <c r="C41" t="s">
        <v>21</v>
      </c>
      <c r="D41" s="3">
        <v>45681.742268518516</v>
      </c>
      <c r="E41" s="4">
        <v>0</v>
      </c>
      <c r="G41" t="s">
        <v>10</v>
      </c>
      <c r="H41" t="s">
        <v>11</v>
      </c>
      <c r="I41" t="s">
        <v>30</v>
      </c>
    </row>
    <row r="42" spans="1:9" hidden="1">
      <c r="A42" s="9" t="s">
        <v>62</v>
      </c>
      <c r="B42" s="7" t="str">
        <f>VLOOKUP(Table2[[#This Row],[CaseNumber]],WH_Data[Case Number],1,FALSE)</f>
        <v>17499470</v>
      </c>
      <c r="C42" t="s">
        <v>21</v>
      </c>
      <c r="D42" s="3">
        <v>45681.742164351854</v>
      </c>
      <c r="E42" s="4">
        <v>0</v>
      </c>
      <c r="G42" t="s">
        <v>10</v>
      </c>
      <c r="H42" t="s">
        <v>11</v>
      </c>
      <c r="I42" t="s">
        <v>30</v>
      </c>
    </row>
    <row r="43" spans="1:9" hidden="1">
      <c r="A43" s="9" t="s">
        <v>63</v>
      </c>
      <c r="B43" s="7" t="str">
        <f>VLOOKUP(Table2[[#This Row],[CaseNumber]],WH_Data[Case Number],1,FALSE)</f>
        <v>17500334</v>
      </c>
      <c r="C43" t="s">
        <v>9</v>
      </c>
      <c r="D43" s="3">
        <v>45663.439467592594</v>
      </c>
      <c r="E43" s="4">
        <v>1</v>
      </c>
      <c r="G43" t="s">
        <v>10</v>
      </c>
      <c r="H43" t="s">
        <v>17</v>
      </c>
      <c r="I43" t="s">
        <v>30</v>
      </c>
    </row>
    <row r="44" spans="1:9" hidden="1">
      <c r="A44" s="9" t="s">
        <v>64</v>
      </c>
      <c r="B44" s="7" t="str">
        <f>VLOOKUP(Table2[[#This Row],[CaseNumber]],WH_Data[Case Number],1,FALSE)</f>
        <v>17550498</v>
      </c>
      <c r="C44" t="s">
        <v>14</v>
      </c>
      <c r="D44" s="3">
        <v>45692.723622685182</v>
      </c>
      <c r="E44" s="4">
        <v>0</v>
      </c>
      <c r="G44" t="s">
        <v>10</v>
      </c>
      <c r="H44" t="s">
        <v>17</v>
      </c>
      <c r="I44" t="s">
        <v>30</v>
      </c>
    </row>
    <row r="45" spans="1:9" hidden="1">
      <c r="A45" s="9" t="s">
        <v>65</v>
      </c>
      <c r="B45" s="7" t="str">
        <f>VLOOKUP(Table2[[#This Row],[CaseNumber]],WH_Data[Case Number],1,FALSE)</f>
        <v>17557130</v>
      </c>
      <c r="C45" t="s">
        <v>29</v>
      </c>
      <c r="D45" s="3">
        <v>45693.593217592592</v>
      </c>
      <c r="E45" s="4">
        <v>1</v>
      </c>
      <c r="G45" t="s">
        <v>10</v>
      </c>
      <c r="H45" t="s">
        <v>19</v>
      </c>
      <c r="I45" t="s">
        <v>30</v>
      </c>
    </row>
    <row r="46" spans="1:9" hidden="1">
      <c r="A46" s="9" t="s">
        <v>66</v>
      </c>
      <c r="B46" s="7" t="str">
        <f>VLOOKUP(Table2[[#This Row],[CaseNumber]],WH_Data[Case Number],1,FALSE)</f>
        <v>17573379</v>
      </c>
      <c r="C46" t="s">
        <v>29</v>
      </c>
      <c r="D46" s="3">
        <v>45751.431192129632</v>
      </c>
      <c r="E46" s="4">
        <v>1</v>
      </c>
      <c r="G46" t="s">
        <v>10</v>
      </c>
      <c r="H46" t="s">
        <v>11</v>
      </c>
      <c r="I46" t="s">
        <v>30</v>
      </c>
    </row>
    <row r="47" spans="1:9" hidden="1">
      <c r="A47" s="9" t="s">
        <v>67</v>
      </c>
      <c r="B47" s="7" t="str">
        <f>VLOOKUP(Table2[[#This Row],[CaseNumber]],WH_Data[Case Number],1,FALSE)</f>
        <v>17583138</v>
      </c>
      <c r="C47" t="s">
        <v>14</v>
      </c>
      <c r="D47" s="3">
        <v>45678.60359953704</v>
      </c>
      <c r="E47" s="4">
        <v>1</v>
      </c>
      <c r="G47" t="s">
        <v>10</v>
      </c>
      <c r="H47" t="s">
        <v>15</v>
      </c>
      <c r="I47" t="s">
        <v>30</v>
      </c>
    </row>
    <row r="48" spans="1:9" hidden="1">
      <c r="A48" s="9" t="s">
        <v>68</v>
      </c>
      <c r="B48" s="7" t="str">
        <f>VLOOKUP(Table2[[#This Row],[CaseNumber]],WH_Data[Case Number],1,FALSE)</f>
        <v>17596465</v>
      </c>
      <c r="C48" t="s">
        <v>21</v>
      </c>
      <c r="D48" s="3">
        <v>45694.436481481483</v>
      </c>
      <c r="E48" s="4">
        <v>0</v>
      </c>
      <c r="G48" t="s">
        <v>10</v>
      </c>
      <c r="H48" t="s">
        <v>11</v>
      </c>
      <c r="I48" t="s">
        <v>30</v>
      </c>
    </row>
    <row r="49" spans="1:9" hidden="1">
      <c r="A49" s="9" t="s">
        <v>69</v>
      </c>
      <c r="B49" s="7" t="str">
        <f>VLOOKUP(Table2[[#This Row],[CaseNumber]],WH_Data[Case Number],1,FALSE)</f>
        <v>17618484</v>
      </c>
      <c r="C49" t="s">
        <v>9</v>
      </c>
      <c r="D49" s="3">
        <v>45743.576631944445</v>
      </c>
      <c r="E49" s="4">
        <v>1</v>
      </c>
      <c r="G49" t="s">
        <v>10</v>
      </c>
      <c r="H49" t="s">
        <v>17</v>
      </c>
      <c r="I49" t="s">
        <v>30</v>
      </c>
    </row>
    <row r="50" spans="1:9" hidden="1">
      <c r="A50" s="9" t="s">
        <v>70</v>
      </c>
      <c r="B50" s="7" t="str">
        <f>VLOOKUP(Table2[[#This Row],[CaseNumber]],WH_Data[Case Number],1,FALSE)</f>
        <v>17629467</v>
      </c>
      <c r="C50" t="s">
        <v>9</v>
      </c>
      <c r="D50" s="3">
        <v>45931.564826388887</v>
      </c>
      <c r="E50" s="4">
        <v>0</v>
      </c>
      <c r="G50" t="s">
        <v>10</v>
      </c>
      <c r="H50" t="s">
        <v>44</v>
      </c>
      <c r="I50" t="s">
        <v>30</v>
      </c>
    </row>
    <row r="51" spans="1:9" hidden="1">
      <c r="A51" s="9" t="s">
        <v>71</v>
      </c>
      <c r="B51" s="7" t="str">
        <f>VLOOKUP(Table2[[#This Row],[CaseNumber]],WH_Data[Case Number],1,FALSE)</f>
        <v>17631947</v>
      </c>
      <c r="C51" t="s">
        <v>29</v>
      </c>
      <c r="D51" s="3">
        <v>45926.580300925925</v>
      </c>
      <c r="E51" s="4">
        <v>1</v>
      </c>
      <c r="G51" t="s">
        <v>10</v>
      </c>
      <c r="H51" t="s">
        <v>11</v>
      </c>
      <c r="I51" t="s">
        <v>30</v>
      </c>
    </row>
    <row r="52" spans="1:9" hidden="1">
      <c r="A52" s="9" t="s">
        <v>72</v>
      </c>
      <c r="B52" s="7" t="str">
        <f>VLOOKUP(Table2[[#This Row],[CaseNumber]],WH_Data[Case Number],1,FALSE)</f>
        <v>17634025</v>
      </c>
      <c r="C52" t="s">
        <v>9</v>
      </c>
      <c r="D52" s="3">
        <v>45803.92627314815</v>
      </c>
      <c r="E52" s="4">
        <v>1</v>
      </c>
      <c r="G52" t="s">
        <v>10</v>
      </c>
      <c r="H52" t="s">
        <v>15</v>
      </c>
      <c r="I52" t="s">
        <v>30</v>
      </c>
    </row>
    <row r="53" spans="1:9" hidden="1">
      <c r="A53" s="9" t="s">
        <v>73</v>
      </c>
      <c r="B53" s="7" t="str">
        <f>VLOOKUP(Table2[[#This Row],[CaseNumber]],WH_Data[Case Number],1,FALSE)</f>
        <v>17636411</v>
      </c>
      <c r="C53" t="s">
        <v>9</v>
      </c>
      <c r="D53" s="3">
        <v>45758.290914351855</v>
      </c>
      <c r="E53" s="4">
        <v>1</v>
      </c>
      <c r="G53" t="s">
        <v>10</v>
      </c>
      <c r="H53" t="s">
        <v>19</v>
      </c>
      <c r="I53" t="s">
        <v>30</v>
      </c>
    </row>
    <row r="54" spans="1:9" hidden="1">
      <c r="A54" s="9" t="s">
        <v>74</v>
      </c>
      <c r="B54" s="7" t="str">
        <f>VLOOKUP(Table2[[#This Row],[CaseNumber]],WH_Data[Case Number],1,FALSE)</f>
        <v>17636994</v>
      </c>
      <c r="C54" t="s">
        <v>9</v>
      </c>
      <c r="D54" s="3">
        <v>45798.771134259259</v>
      </c>
      <c r="E54" s="4">
        <v>1</v>
      </c>
      <c r="G54" t="s">
        <v>10</v>
      </c>
      <c r="H54" t="s">
        <v>11</v>
      </c>
      <c r="I54" t="s">
        <v>30</v>
      </c>
    </row>
    <row r="55" spans="1:9" hidden="1">
      <c r="A55" s="9" t="s">
        <v>75</v>
      </c>
      <c r="B55" s="7" t="str">
        <f>VLOOKUP(Table2[[#This Row],[CaseNumber]],WH_Data[Case Number],1,FALSE)</f>
        <v>17637187</v>
      </c>
      <c r="C55" t="s">
        <v>21</v>
      </c>
      <c r="D55" s="3">
        <v>45665.385833333334</v>
      </c>
      <c r="E55" s="4">
        <v>0</v>
      </c>
      <c r="G55" t="s">
        <v>10</v>
      </c>
      <c r="H55" t="s">
        <v>11</v>
      </c>
      <c r="I55" t="s">
        <v>30</v>
      </c>
    </row>
    <row r="56" spans="1:9" hidden="1">
      <c r="A56" s="9" t="s">
        <v>76</v>
      </c>
      <c r="B56" s="7" t="str">
        <f>VLOOKUP(Table2[[#This Row],[CaseNumber]],WH_Data[Case Number],1,FALSE)</f>
        <v>17639708</v>
      </c>
      <c r="C56" t="s">
        <v>29</v>
      </c>
      <c r="D56" s="3">
        <v>45714.437916666669</v>
      </c>
      <c r="E56" s="4">
        <v>1</v>
      </c>
      <c r="G56" t="s">
        <v>10</v>
      </c>
      <c r="H56" t="s">
        <v>11</v>
      </c>
      <c r="I56" t="s">
        <v>30</v>
      </c>
    </row>
    <row r="57" spans="1:9" hidden="1">
      <c r="A57" s="9" t="s">
        <v>77</v>
      </c>
      <c r="B57" s="7" t="str">
        <f>VLOOKUP(Table2[[#This Row],[CaseNumber]],WH_Data[Case Number],1,FALSE)</f>
        <v>17646416</v>
      </c>
      <c r="C57" t="s">
        <v>21</v>
      </c>
      <c r="D57" s="3">
        <v>45849.747465277775</v>
      </c>
      <c r="E57" s="4">
        <v>1</v>
      </c>
      <c r="G57" t="s">
        <v>10</v>
      </c>
      <c r="H57" t="s">
        <v>17</v>
      </c>
      <c r="I57" t="s">
        <v>30</v>
      </c>
    </row>
    <row r="58" spans="1:9" hidden="1">
      <c r="A58" s="9" t="s">
        <v>78</v>
      </c>
      <c r="B58" s="7" t="str">
        <f>VLOOKUP(Table2[[#This Row],[CaseNumber]],WH_Data[Case Number],1,FALSE)</f>
        <v>17684555</v>
      </c>
      <c r="C58" t="s">
        <v>29</v>
      </c>
      <c r="D58" s="3">
        <v>45750.608553240738</v>
      </c>
      <c r="E58" s="4">
        <v>0</v>
      </c>
      <c r="G58" t="s">
        <v>10</v>
      </c>
      <c r="H58" t="s">
        <v>11</v>
      </c>
      <c r="I58" t="s">
        <v>30</v>
      </c>
    </row>
    <row r="59" spans="1:9" hidden="1">
      <c r="A59" s="9" t="s">
        <v>79</v>
      </c>
      <c r="B59" s="7" t="str">
        <f>VLOOKUP(Table2[[#This Row],[CaseNumber]],WH_Data[Case Number],1,FALSE)</f>
        <v>17700775</v>
      </c>
      <c r="C59" t="s">
        <v>21</v>
      </c>
      <c r="D59" s="3">
        <v>45782.418298611112</v>
      </c>
      <c r="E59" s="4">
        <v>0</v>
      </c>
      <c r="G59" t="s">
        <v>10</v>
      </c>
      <c r="H59" t="s">
        <v>17</v>
      </c>
      <c r="I59" t="s">
        <v>30</v>
      </c>
    </row>
    <row r="60" spans="1:9" hidden="1">
      <c r="A60" s="9" t="s">
        <v>80</v>
      </c>
      <c r="B60" s="7" t="str">
        <f>VLOOKUP(Table2[[#This Row],[CaseNumber]],WH_Data[Case Number],1,FALSE)</f>
        <v>17704922</v>
      </c>
      <c r="C60" t="s">
        <v>9</v>
      </c>
      <c r="D60" s="3">
        <v>45670.31523148148</v>
      </c>
      <c r="E60" s="4">
        <v>1</v>
      </c>
      <c r="G60" t="s">
        <v>10</v>
      </c>
      <c r="H60" t="s">
        <v>11</v>
      </c>
      <c r="I60" t="s">
        <v>30</v>
      </c>
    </row>
    <row r="61" spans="1:9" hidden="1">
      <c r="A61" s="9" t="s">
        <v>81</v>
      </c>
      <c r="B61" s="7" t="str">
        <f>VLOOKUP(Table2[[#This Row],[CaseNumber]],WH_Data[Case Number],1,FALSE)</f>
        <v>17707562</v>
      </c>
      <c r="C61" t="s">
        <v>21</v>
      </c>
      <c r="D61" s="3">
        <v>45755.32472222222</v>
      </c>
      <c r="E61" s="4">
        <v>1</v>
      </c>
      <c r="G61" t="s">
        <v>10</v>
      </c>
      <c r="H61" t="s">
        <v>17</v>
      </c>
      <c r="I61" t="s">
        <v>30</v>
      </c>
    </row>
    <row r="62" spans="1:9" hidden="1">
      <c r="A62" s="9" t="s">
        <v>82</v>
      </c>
      <c r="B62" s="7" t="str">
        <f>VLOOKUP(Table2[[#This Row],[CaseNumber]],WH_Data[Case Number],1,FALSE)</f>
        <v>17713692</v>
      </c>
      <c r="C62" t="s">
        <v>9</v>
      </c>
      <c r="D62" s="3">
        <v>45741.892997685187</v>
      </c>
      <c r="E62" s="4">
        <v>1</v>
      </c>
      <c r="G62" t="s">
        <v>10</v>
      </c>
      <c r="H62" t="s">
        <v>17</v>
      </c>
      <c r="I62" t="s">
        <v>30</v>
      </c>
    </row>
    <row r="63" spans="1:9" hidden="1">
      <c r="A63" s="9" t="s">
        <v>83</v>
      </c>
      <c r="B63" s="7" t="str">
        <f>VLOOKUP(Table2[[#This Row],[CaseNumber]],WH_Data[Case Number],1,FALSE)</f>
        <v>17713714</v>
      </c>
      <c r="C63" t="s">
        <v>29</v>
      </c>
      <c r="D63" s="3">
        <v>45672.268553240741</v>
      </c>
      <c r="E63" s="4">
        <v>1</v>
      </c>
      <c r="G63" t="s">
        <v>10</v>
      </c>
      <c r="H63" t="s">
        <v>17</v>
      </c>
      <c r="I63" t="s">
        <v>30</v>
      </c>
    </row>
    <row r="64" spans="1:9" hidden="1">
      <c r="A64" s="9" t="s">
        <v>84</v>
      </c>
      <c r="B64" s="7" t="str">
        <f>VLOOKUP(Table2[[#This Row],[CaseNumber]],WH_Data[Case Number],1,FALSE)</f>
        <v>17713813</v>
      </c>
      <c r="C64" t="s">
        <v>21</v>
      </c>
      <c r="D64" s="3">
        <v>45687.589155092595</v>
      </c>
      <c r="E64" s="4">
        <v>0</v>
      </c>
      <c r="G64" t="s">
        <v>10</v>
      </c>
      <c r="H64" t="s">
        <v>11</v>
      </c>
      <c r="I64" t="s">
        <v>30</v>
      </c>
    </row>
    <row r="65" spans="1:9" hidden="1">
      <c r="A65" s="9" t="s">
        <v>85</v>
      </c>
      <c r="B65" s="7" t="str">
        <f>VLOOKUP(Table2[[#This Row],[CaseNumber]],WH_Data[Case Number],1,FALSE)</f>
        <v>17723280</v>
      </c>
      <c r="C65" t="s">
        <v>29</v>
      </c>
      <c r="D65" s="3">
        <v>45758.4919212963</v>
      </c>
      <c r="E65" s="4">
        <v>1</v>
      </c>
      <c r="G65" t="s">
        <v>10</v>
      </c>
      <c r="H65" t="s">
        <v>11</v>
      </c>
      <c r="I65" t="s">
        <v>30</v>
      </c>
    </row>
    <row r="66" spans="1:9" hidden="1">
      <c r="A66" s="9" t="s">
        <v>86</v>
      </c>
      <c r="B66" s="7" t="str">
        <f>VLOOKUP(Table2[[#This Row],[CaseNumber]],WH_Data[Case Number],1,FALSE)</f>
        <v>17747237</v>
      </c>
      <c r="C66" t="s">
        <v>9</v>
      </c>
      <c r="D66" s="3">
        <v>45709.659745370373</v>
      </c>
      <c r="E66" s="4">
        <v>0</v>
      </c>
      <c r="G66" t="s">
        <v>10</v>
      </c>
      <c r="H66" t="s">
        <v>11</v>
      </c>
      <c r="I66" t="s">
        <v>30</v>
      </c>
    </row>
    <row r="67" spans="1:9" hidden="1">
      <c r="A67" s="9" t="s">
        <v>87</v>
      </c>
      <c r="B67" s="7" t="str">
        <f>VLOOKUP(Table2[[#This Row],[CaseNumber]],WH_Data[Case Number],1,FALSE)</f>
        <v>17747475</v>
      </c>
      <c r="C67" t="s">
        <v>9</v>
      </c>
      <c r="D67" s="3">
        <v>45685.637939814813</v>
      </c>
      <c r="E67" s="4">
        <v>1</v>
      </c>
      <c r="G67" t="s">
        <v>10</v>
      </c>
      <c r="H67" t="s">
        <v>11</v>
      </c>
      <c r="I67" t="s">
        <v>30</v>
      </c>
    </row>
    <row r="68" spans="1:9" hidden="1">
      <c r="A68" s="9" t="s">
        <v>88</v>
      </c>
      <c r="B68" s="7" t="str">
        <f>VLOOKUP(Table2[[#This Row],[CaseNumber]],WH_Data[Case Number],1,FALSE)</f>
        <v>17754451</v>
      </c>
      <c r="C68" t="s">
        <v>29</v>
      </c>
      <c r="D68" s="3">
        <v>45713.374479166669</v>
      </c>
      <c r="E68" s="4">
        <v>1</v>
      </c>
      <c r="G68" t="s">
        <v>10</v>
      </c>
      <c r="H68" t="s">
        <v>19</v>
      </c>
      <c r="I68" t="s">
        <v>30</v>
      </c>
    </row>
    <row r="69" spans="1:9" hidden="1">
      <c r="A69" s="9" t="s">
        <v>89</v>
      </c>
      <c r="B69" s="7" t="str">
        <f>VLOOKUP(Table2[[#This Row],[CaseNumber]],WH_Data[Case Number],1,FALSE)</f>
        <v>17776143</v>
      </c>
      <c r="C69" t="s">
        <v>21</v>
      </c>
      <c r="D69" s="3">
        <v>45691.569525462961</v>
      </c>
      <c r="E69" s="4">
        <v>1</v>
      </c>
      <c r="G69" t="s">
        <v>10</v>
      </c>
      <c r="H69" t="s">
        <v>11</v>
      </c>
      <c r="I69" t="s">
        <v>30</v>
      </c>
    </row>
    <row r="70" spans="1:9" hidden="1">
      <c r="A70" s="9" t="s">
        <v>90</v>
      </c>
      <c r="B70" s="7" t="str">
        <f>VLOOKUP(Table2[[#This Row],[CaseNumber]],WH_Data[Case Number],1,FALSE)</f>
        <v>17800516</v>
      </c>
      <c r="C70" t="s">
        <v>14</v>
      </c>
      <c r="D70" s="3">
        <v>45692.741215277776</v>
      </c>
      <c r="E70" s="4">
        <v>1</v>
      </c>
      <c r="G70" t="s">
        <v>10</v>
      </c>
      <c r="H70" t="s">
        <v>11</v>
      </c>
      <c r="I70" t="s">
        <v>30</v>
      </c>
    </row>
    <row r="71" spans="1:9" hidden="1">
      <c r="A71" s="9" t="s">
        <v>91</v>
      </c>
      <c r="B71" s="7" t="str">
        <f>VLOOKUP(Table2[[#This Row],[CaseNumber]],WH_Data[Case Number],1,FALSE)</f>
        <v>17803215</v>
      </c>
      <c r="C71" t="s">
        <v>21</v>
      </c>
      <c r="D71" s="3">
        <v>45729.546365740738</v>
      </c>
      <c r="E71" s="4">
        <v>1</v>
      </c>
      <c r="G71" t="s">
        <v>10</v>
      </c>
      <c r="H71" t="s">
        <v>11</v>
      </c>
      <c r="I71" t="s">
        <v>30</v>
      </c>
    </row>
    <row r="72" spans="1:9" hidden="1">
      <c r="A72" s="9" t="s">
        <v>92</v>
      </c>
      <c r="B72" s="7" t="str">
        <f>VLOOKUP(Table2[[#This Row],[CaseNumber]],WH_Data[Case Number],1,FALSE)</f>
        <v>17804485</v>
      </c>
      <c r="C72" t="s">
        <v>21</v>
      </c>
      <c r="D72" s="3">
        <v>45729.564629629633</v>
      </c>
      <c r="E72" s="4">
        <v>1</v>
      </c>
      <c r="G72" t="s">
        <v>10</v>
      </c>
      <c r="H72" t="s">
        <v>11</v>
      </c>
      <c r="I72" t="s">
        <v>30</v>
      </c>
    </row>
    <row r="73" spans="1:9" hidden="1">
      <c r="A73" s="9" t="s">
        <v>93</v>
      </c>
      <c r="B73" s="7" t="str">
        <f>VLOOKUP(Table2[[#This Row],[CaseNumber]],WH_Data[Case Number],1,FALSE)</f>
        <v>17806085</v>
      </c>
      <c r="C73" t="s">
        <v>9</v>
      </c>
      <c r="D73" s="3">
        <v>45884.641076388885</v>
      </c>
      <c r="E73" s="4">
        <v>1</v>
      </c>
      <c r="G73" t="s">
        <v>10</v>
      </c>
      <c r="H73" t="s">
        <v>44</v>
      </c>
      <c r="I73" t="s">
        <v>30</v>
      </c>
    </row>
    <row r="74" spans="1:9" hidden="1">
      <c r="A74" s="9" t="s">
        <v>94</v>
      </c>
      <c r="B74" s="7" t="str">
        <f>VLOOKUP(Table2[[#This Row],[CaseNumber]],WH_Data[Case Number],1,FALSE)</f>
        <v>17806221</v>
      </c>
      <c r="C74" t="s">
        <v>9</v>
      </c>
      <c r="D74" s="3">
        <v>45833.589803240742</v>
      </c>
      <c r="E74" s="4">
        <v>0</v>
      </c>
      <c r="G74" t="s">
        <v>10</v>
      </c>
      <c r="H74" t="s">
        <v>17</v>
      </c>
      <c r="I74" t="s">
        <v>30</v>
      </c>
    </row>
    <row r="75" spans="1:9" hidden="1">
      <c r="A75" s="9" t="s">
        <v>95</v>
      </c>
      <c r="B75" s="7" t="str">
        <f>VLOOKUP(Table2[[#This Row],[CaseNumber]],WH_Data[Case Number],1,FALSE)</f>
        <v>17808508</v>
      </c>
      <c r="C75" t="s">
        <v>9</v>
      </c>
      <c r="D75" s="3">
        <v>45685.58734953704</v>
      </c>
      <c r="E75" s="4">
        <v>1</v>
      </c>
      <c r="G75" t="s">
        <v>10</v>
      </c>
      <c r="H75" t="s">
        <v>11</v>
      </c>
      <c r="I75" t="s">
        <v>30</v>
      </c>
    </row>
    <row r="76" spans="1:9" hidden="1">
      <c r="A76" s="9" t="s">
        <v>96</v>
      </c>
      <c r="B76" s="7" t="str">
        <f>VLOOKUP(Table2[[#This Row],[CaseNumber]],WH_Data[Case Number],1,FALSE)</f>
        <v>17826079</v>
      </c>
      <c r="C76" t="s">
        <v>29</v>
      </c>
      <c r="D76" s="3">
        <v>45862.578993055555</v>
      </c>
      <c r="E76" s="4">
        <v>0</v>
      </c>
      <c r="G76" t="s">
        <v>10</v>
      </c>
      <c r="H76" t="s">
        <v>11</v>
      </c>
      <c r="I76" t="s">
        <v>30</v>
      </c>
    </row>
    <row r="77" spans="1:9" hidden="1">
      <c r="A77" s="9" t="s">
        <v>97</v>
      </c>
      <c r="B77" s="7" t="str">
        <f>VLOOKUP(Table2[[#This Row],[CaseNumber]],WH_Data[Case Number],1,FALSE)</f>
        <v>17834817</v>
      </c>
      <c r="C77" t="s">
        <v>23</v>
      </c>
      <c r="D77" s="3">
        <v>45733.837476851855</v>
      </c>
      <c r="E77" s="4">
        <v>1</v>
      </c>
      <c r="G77" t="s">
        <v>10</v>
      </c>
      <c r="H77" t="s">
        <v>17</v>
      </c>
      <c r="I77" t="s">
        <v>30</v>
      </c>
    </row>
    <row r="78" spans="1:9" hidden="1">
      <c r="A78" s="9" t="s">
        <v>98</v>
      </c>
      <c r="B78" s="7" t="str">
        <f>VLOOKUP(Table2[[#This Row],[CaseNumber]],WH_Data[Case Number],1,FALSE)</f>
        <v>17841535</v>
      </c>
      <c r="C78" t="s">
        <v>29</v>
      </c>
      <c r="D78" s="3">
        <v>45728.288182870368</v>
      </c>
      <c r="E78" s="4">
        <v>1</v>
      </c>
      <c r="G78" t="s">
        <v>10</v>
      </c>
      <c r="H78" t="s">
        <v>11</v>
      </c>
      <c r="I78" t="s">
        <v>30</v>
      </c>
    </row>
    <row r="79" spans="1:9" hidden="1">
      <c r="A79" s="9" t="s">
        <v>99</v>
      </c>
      <c r="B79" s="7" t="str">
        <f>VLOOKUP(Table2[[#This Row],[CaseNumber]],WH_Data[Case Number],1,FALSE)</f>
        <v>17842403</v>
      </c>
      <c r="C79" t="s">
        <v>21</v>
      </c>
      <c r="D79" s="3">
        <v>45694.476979166669</v>
      </c>
      <c r="E79" s="4">
        <v>0</v>
      </c>
      <c r="G79" t="s">
        <v>10</v>
      </c>
      <c r="H79" t="s">
        <v>17</v>
      </c>
      <c r="I79" t="s">
        <v>30</v>
      </c>
    </row>
    <row r="80" spans="1:9" hidden="1">
      <c r="A80" s="9" t="s">
        <v>100</v>
      </c>
      <c r="B80" s="7" t="str">
        <f>VLOOKUP(Table2[[#This Row],[CaseNumber]],WH_Data[Case Number],1,FALSE)</f>
        <v>17845248</v>
      </c>
      <c r="C80" t="s">
        <v>9</v>
      </c>
      <c r="D80" s="3">
        <v>45686.750636574077</v>
      </c>
      <c r="E80" s="4">
        <v>1</v>
      </c>
      <c r="G80" t="s">
        <v>10</v>
      </c>
      <c r="H80" t="s">
        <v>11</v>
      </c>
      <c r="I80" t="s">
        <v>30</v>
      </c>
    </row>
    <row r="81" spans="1:9" hidden="1">
      <c r="A81" s="9" t="s">
        <v>101</v>
      </c>
      <c r="B81" s="7" t="str">
        <f>VLOOKUP(Table2[[#This Row],[CaseNumber]],WH_Data[Case Number],1,FALSE)</f>
        <v>17845637</v>
      </c>
      <c r="C81" t="s">
        <v>14</v>
      </c>
      <c r="D81" s="3">
        <v>45765.457083333335</v>
      </c>
      <c r="E81" s="4">
        <v>1</v>
      </c>
      <c r="G81" t="s">
        <v>10</v>
      </c>
      <c r="H81" t="s">
        <v>15</v>
      </c>
      <c r="I81" t="s">
        <v>30</v>
      </c>
    </row>
    <row r="82" spans="1:9" hidden="1">
      <c r="A82" s="9" t="s">
        <v>102</v>
      </c>
      <c r="B82" s="7" t="str">
        <f>VLOOKUP(Table2[[#This Row],[CaseNumber]],WH_Data[Case Number],1,FALSE)</f>
        <v>17848860</v>
      </c>
      <c r="C82" t="s">
        <v>21</v>
      </c>
      <c r="D82" s="3">
        <v>45791.49255787037</v>
      </c>
      <c r="E82" s="4">
        <v>1</v>
      </c>
      <c r="G82" t="s">
        <v>10</v>
      </c>
      <c r="H82" t="s">
        <v>19</v>
      </c>
      <c r="I82" t="s">
        <v>30</v>
      </c>
    </row>
    <row r="83" spans="1:9" hidden="1">
      <c r="A83" s="9" t="s">
        <v>103</v>
      </c>
      <c r="B83" s="7" t="str">
        <f>VLOOKUP(Table2[[#This Row],[CaseNumber]],WH_Data[Case Number],1,FALSE)</f>
        <v>17849735</v>
      </c>
      <c r="C83" t="s">
        <v>9</v>
      </c>
      <c r="D83" s="3">
        <v>45763.3828125</v>
      </c>
      <c r="E83" s="4">
        <v>1</v>
      </c>
      <c r="G83" t="s">
        <v>10</v>
      </c>
      <c r="H83" t="s">
        <v>17</v>
      </c>
      <c r="I83" t="s">
        <v>30</v>
      </c>
    </row>
    <row r="84" spans="1:9" hidden="1">
      <c r="A84" s="9" t="s">
        <v>104</v>
      </c>
      <c r="B84" s="7" t="str">
        <f>VLOOKUP(Table2[[#This Row],[CaseNumber]],WH_Data[Case Number],1,FALSE)</f>
        <v>17850544</v>
      </c>
      <c r="C84" t="s">
        <v>23</v>
      </c>
      <c r="D84" s="3">
        <v>45743.819212962961</v>
      </c>
      <c r="E84" s="4">
        <v>1</v>
      </c>
      <c r="G84" t="s">
        <v>10</v>
      </c>
      <c r="H84" t="s">
        <v>17</v>
      </c>
      <c r="I84" t="s">
        <v>30</v>
      </c>
    </row>
    <row r="85" spans="1:9" hidden="1">
      <c r="A85" s="9" t="s">
        <v>105</v>
      </c>
      <c r="B85" s="7" t="str">
        <f>VLOOKUP(Table2[[#This Row],[CaseNumber]],WH_Data[Case Number],1,FALSE)</f>
        <v>17863050</v>
      </c>
      <c r="C85" t="s">
        <v>9</v>
      </c>
      <c r="D85" s="3">
        <v>45778.312986111108</v>
      </c>
      <c r="E85" s="4">
        <v>1</v>
      </c>
      <c r="G85" t="s">
        <v>10</v>
      </c>
      <c r="H85" t="s">
        <v>17</v>
      </c>
      <c r="I85" t="s">
        <v>30</v>
      </c>
    </row>
    <row r="86" spans="1:9" hidden="1">
      <c r="A86" s="9" t="s">
        <v>106</v>
      </c>
      <c r="B86" s="7" t="str">
        <f>VLOOKUP(Table2[[#This Row],[CaseNumber]],WH_Data[Case Number],1,FALSE)</f>
        <v>17870979</v>
      </c>
      <c r="C86" t="s">
        <v>9</v>
      </c>
      <c r="D86" s="3">
        <v>45782.256319444445</v>
      </c>
      <c r="E86" s="4">
        <v>1</v>
      </c>
      <c r="G86" t="s">
        <v>10</v>
      </c>
      <c r="H86" t="s">
        <v>17</v>
      </c>
      <c r="I86" t="s">
        <v>30</v>
      </c>
    </row>
    <row r="87" spans="1:9" hidden="1">
      <c r="A87" s="9" t="s">
        <v>107</v>
      </c>
      <c r="B87" s="7" t="str">
        <f>VLOOKUP(Table2[[#This Row],[CaseNumber]],WH_Data[Case Number],1,FALSE)</f>
        <v>17871027</v>
      </c>
      <c r="C87" t="s">
        <v>9</v>
      </c>
      <c r="D87" s="3">
        <v>45778.28229166667</v>
      </c>
      <c r="E87" s="4">
        <v>1</v>
      </c>
      <c r="G87" t="s">
        <v>10</v>
      </c>
      <c r="H87" t="s">
        <v>17</v>
      </c>
      <c r="I87" t="s">
        <v>30</v>
      </c>
    </row>
    <row r="88" spans="1:9" hidden="1">
      <c r="A88" s="9" t="s">
        <v>108</v>
      </c>
      <c r="B88" s="7" t="str">
        <f>VLOOKUP(Table2[[#This Row],[CaseNumber]],WH_Data[Case Number],1,FALSE)</f>
        <v>17871110</v>
      </c>
      <c r="C88" t="s">
        <v>9</v>
      </c>
      <c r="D88" s="3">
        <v>45783.613506944443</v>
      </c>
      <c r="E88" s="4">
        <v>1</v>
      </c>
      <c r="G88" t="s">
        <v>10</v>
      </c>
      <c r="H88" t="s">
        <v>17</v>
      </c>
      <c r="I88" t="s">
        <v>30</v>
      </c>
    </row>
    <row r="89" spans="1:9" hidden="1">
      <c r="A89" s="9" t="s">
        <v>109</v>
      </c>
      <c r="B89" s="7" t="str">
        <f>VLOOKUP(Table2[[#This Row],[CaseNumber]],WH_Data[Case Number],1,FALSE)</f>
        <v>17871389</v>
      </c>
      <c r="C89" t="s">
        <v>14</v>
      </c>
      <c r="D89" s="3">
        <v>45778.299351851849</v>
      </c>
      <c r="E89" s="4">
        <v>1</v>
      </c>
      <c r="G89" t="s">
        <v>10</v>
      </c>
      <c r="H89" t="s">
        <v>17</v>
      </c>
      <c r="I89" t="s">
        <v>30</v>
      </c>
    </row>
    <row r="90" spans="1:9" hidden="1">
      <c r="A90" s="9" t="s">
        <v>110</v>
      </c>
      <c r="B90" s="7" t="str">
        <f>VLOOKUP(Table2[[#This Row],[CaseNumber]],WH_Data[Case Number],1,FALSE)</f>
        <v>17871411</v>
      </c>
      <c r="C90" t="s">
        <v>29</v>
      </c>
      <c r="D90" s="3">
        <v>45810.304097222222</v>
      </c>
      <c r="E90" s="4">
        <v>0</v>
      </c>
      <c r="G90" t="s">
        <v>10</v>
      </c>
      <c r="H90" t="s">
        <v>17</v>
      </c>
      <c r="I90" t="s">
        <v>30</v>
      </c>
    </row>
    <row r="91" spans="1:9" hidden="1">
      <c r="A91" s="9" t="s">
        <v>111</v>
      </c>
      <c r="B91" s="7" t="str">
        <f>VLOOKUP(Table2[[#This Row],[CaseNumber]],WH_Data[Case Number],1,FALSE)</f>
        <v>17892525</v>
      </c>
      <c r="C91" t="s">
        <v>9</v>
      </c>
      <c r="D91" s="3">
        <v>45729.721666666665</v>
      </c>
      <c r="E91" s="4">
        <v>0</v>
      </c>
      <c r="G91" t="s">
        <v>10</v>
      </c>
      <c r="H91" t="s">
        <v>11</v>
      </c>
      <c r="I91" t="s">
        <v>30</v>
      </c>
    </row>
    <row r="92" spans="1:9" hidden="1">
      <c r="A92" s="9" t="s">
        <v>112</v>
      </c>
      <c r="B92" s="7" t="str">
        <f>VLOOKUP(Table2[[#This Row],[CaseNumber]],WH_Data[Case Number],1,FALSE)</f>
        <v>17915351</v>
      </c>
      <c r="C92" t="s">
        <v>9</v>
      </c>
      <c r="D92" s="3">
        <v>45723.592939814815</v>
      </c>
      <c r="E92" s="4">
        <v>1</v>
      </c>
      <c r="G92" t="s">
        <v>10</v>
      </c>
      <c r="H92" t="s">
        <v>11</v>
      </c>
      <c r="I92" t="s">
        <v>30</v>
      </c>
    </row>
    <row r="93" spans="1:9" hidden="1">
      <c r="A93" s="9" t="s">
        <v>113</v>
      </c>
      <c r="B93" s="7" t="str">
        <f>VLOOKUP(Table2[[#This Row],[CaseNumber]],WH_Data[Case Number],1,FALSE)</f>
        <v>17924595</v>
      </c>
      <c r="C93" t="s">
        <v>9</v>
      </c>
      <c r="D93" s="3">
        <v>45729.595081018517</v>
      </c>
      <c r="E93" s="4">
        <v>1</v>
      </c>
      <c r="G93" t="s">
        <v>10</v>
      </c>
      <c r="H93" t="s">
        <v>11</v>
      </c>
      <c r="I93" t="s">
        <v>30</v>
      </c>
    </row>
    <row r="94" spans="1:9" hidden="1">
      <c r="A94" s="9" t="s">
        <v>114</v>
      </c>
      <c r="B94" s="7" t="str">
        <f>VLOOKUP(Table2[[#This Row],[CaseNumber]],WH_Data[Case Number],1,FALSE)</f>
        <v>17928931</v>
      </c>
      <c r="C94" t="s">
        <v>9</v>
      </c>
      <c r="D94" s="3">
        <v>45789.559918981482</v>
      </c>
      <c r="E94" s="4">
        <v>1</v>
      </c>
      <c r="G94" t="s">
        <v>10</v>
      </c>
      <c r="H94" t="s">
        <v>46</v>
      </c>
      <c r="I94" t="s">
        <v>30</v>
      </c>
    </row>
    <row r="95" spans="1:9" hidden="1">
      <c r="A95" s="9" t="s">
        <v>115</v>
      </c>
      <c r="B95" s="7" t="str">
        <f>VLOOKUP(Table2[[#This Row],[CaseNumber]],WH_Data[Case Number],1,FALSE)</f>
        <v>17928935</v>
      </c>
      <c r="C95" t="s">
        <v>9</v>
      </c>
      <c r="D95" s="3">
        <v>45756.380902777775</v>
      </c>
      <c r="E95" s="4">
        <v>1</v>
      </c>
      <c r="G95" t="s">
        <v>10</v>
      </c>
      <c r="H95" t="s">
        <v>46</v>
      </c>
      <c r="I95" t="s">
        <v>30</v>
      </c>
    </row>
    <row r="96" spans="1:9" hidden="1">
      <c r="A96" s="9" t="s">
        <v>116</v>
      </c>
      <c r="B96" s="7" t="str">
        <f>VLOOKUP(Table2[[#This Row],[CaseNumber]],WH_Data[Case Number],1,FALSE)</f>
        <v>17935880</v>
      </c>
      <c r="C96" t="s">
        <v>9</v>
      </c>
      <c r="D96" s="3">
        <v>45756.435972222222</v>
      </c>
      <c r="E96" s="4">
        <v>1</v>
      </c>
      <c r="G96" t="s">
        <v>10</v>
      </c>
      <c r="H96" t="s">
        <v>19</v>
      </c>
      <c r="I96" t="s">
        <v>30</v>
      </c>
    </row>
    <row r="97" spans="1:9" hidden="1">
      <c r="A97" s="9" t="s">
        <v>117</v>
      </c>
      <c r="B97" s="7" t="str">
        <f>VLOOKUP(Table2[[#This Row],[CaseNumber]],WH_Data[Case Number],1,FALSE)</f>
        <v>17947835</v>
      </c>
      <c r="C97" t="s">
        <v>9</v>
      </c>
      <c r="D97" s="3">
        <v>45783.313668981478</v>
      </c>
      <c r="E97" s="4">
        <v>1</v>
      </c>
      <c r="G97" t="s">
        <v>10</v>
      </c>
      <c r="H97" t="s">
        <v>19</v>
      </c>
      <c r="I97" t="s">
        <v>30</v>
      </c>
    </row>
    <row r="98" spans="1:9" hidden="1">
      <c r="A98" s="9" t="s">
        <v>118</v>
      </c>
      <c r="B98" s="7" t="str">
        <f>VLOOKUP(Table2[[#This Row],[CaseNumber]],WH_Data[Case Number],1,FALSE)</f>
        <v>17950855</v>
      </c>
      <c r="C98" t="s">
        <v>21</v>
      </c>
      <c r="D98" s="3">
        <v>45833.818553240744</v>
      </c>
      <c r="E98" s="4">
        <v>1</v>
      </c>
      <c r="G98" t="s">
        <v>10</v>
      </c>
      <c r="H98" t="s">
        <v>11</v>
      </c>
      <c r="I98" t="s">
        <v>30</v>
      </c>
    </row>
    <row r="99" spans="1:9" hidden="1">
      <c r="A99" s="9" t="s">
        <v>119</v>
      </c>
      <c r="B99" s="7" t="str">
        <f>VLOOKUP(Table2[[#This Row],[CaseNumber]],WH_Data[Case Number],1,FALSE)</f>
        <v>17974379</v>
      </c>
      <c r="C99" t="s">
        <v>29</v>
      </c>
      <c r="D99" s="3">
        <v>45807.341562499998</v>
      </c>
      <c r="E99" s="4">
        <v>1</v>
      </c>
      <c r="G99" t="s">
        <v>10</v>
      </c>
      <c r="H99" t="s">
        <v>11</v>
      </c>
      <c r="I99" t="s">
        <v>30</v>
      </c>
    </row>
    <row r="100" spans="1:9" hidden="1">
      <c r="A100" s="9" t="s">
        <v>120</v>
      </c>
      <c r="B100" s="7" t="str">
        <f>VLOOKUP(Table2[[#This Row],[CaseNumber]],WH_Data[Case Number],1,FALSE)</f>
        <v>17974726</v>
      </c>
      <c r="C100" t="s">
        <v>9</v>
      </c>
      <c r="D100" s="3">
        <v>45715.419039351851</v>
      </c>
      <c r="E100" s="4">
        <v>1</v>
      </c>
      <c r="G100" t="s">
        <v>10</v>
      </c>
      <c r="H100" t="s">
        <v>17</v>
      </c>
      <c r="I100" t="s">
        <v>30</v>
      </c>
    </row>
    <row r="101" spans="1:9" hidden="1">
      <c r="A101" s="9" t="s">
        <v>121</v>
      </c>
      <c r="B101" s="7" t="str">
        <f>VLOOKUP(Table2[[#This Row],[CaseNumber]],WH_Data[Case Number],1,FALSE)</f>
        <v>17974771</v>
      </c>
      <c r="C101" t="s">
        <v>21</v>
      </c>
      <c r="D101" s="3">
        <v>45714.694085648145</v>
      </c>
      <c r="E101" s="4">
        <v>1</v>
      </c>
      <c r="G101" t="s">
        <v>10</v>
      </c>
      <c r="H101" t="s">
        <v>17</v>
      </c>
      <c r="I101" t="s">
        <v>30</v>
      </c>
    </row>
    <row r="102" spans="1:9" hidden="1">
      <c r="A102" s="9" t="s">
        <v>122</v>
      </c>
      <c r="B102" s="7" t="str">
        <f>VLOOKUP(Table2[[#This Row],[CaseNumber]],WH_Data[Case Number],1,FALSE)</f>
        <v>17979573</v>
      </c>
      <c r="C102" t="s">
        <v>9</v>
      </c>
      <c r="D102" s="3">
        <v>45807.725532407407</v>
      </c>
      <c r="E102" s="4">
        <v>1</v>
      </c>
      <c r="G102" t="s">
        <v>10</v>
      </c>
      <c r="H102" t="s">
        <v>19</v>
      </c>
      <c r="I102" t="s">
        <v>30</v>
      </c>
    </row>
    <row r="103" spans="1:9" hidden="1">
      <c r="A103" s="9" t="s">
        <v>123</v>
      </c>
      <c r="B103" s="7" t="str">
        <f>VLOOKUP(Table2[[#This Row],[CaseNumber]],WH_Data[Case Number],1,FALSE)</f>
        <v>17983312</v>
      </c>
      <c r="C103" t="s">
        <v>9</v>
      </c>
      <c r="D103" s="3">
        <v>45775.374398148146</v>
      </c>
      <c r="E103" s="4">
        <v>0</v>
      </c>
      <c r="G103" t="s">
        <v>10</v>
      </c>
      <c r="H103" t="s">
        <v>19</v>
      </c>
      <c r="I103" t="s">
        <v>30</v>
      </c>
    </row>
    <row r="104" spans="1:9" hidden="1">
      <c r="A104" s="9" t="s">
        <v>124</v>
      </c>
      <c r="B104" s="7" t="str">
        <f>VLOOKUP(Table2[[#This Row],[CaseNumber]],WH_Data[Case Number],1,FALSE)</f>
        <v>17983433</v>
      </c>
      <c r="C104" t="s">
        <v>9</v>
      </c>
      <c r="D104" s="3">
        <v>45807.616296296299</v>
      </c>
      <c r="E104" s="4">
        <v>1</v>
      </c>
      <c r="G104" t="s">
        <v>10</v>
      </c>
      <c r="H104" t="s">
        <v>11</v>
      </c>
      <c r="I104" t="s">
        <v>30</v>
      </c>
    </row>
    <row r="105" spans="1:9" hidden="1">
      <c r="A105" s="9" t="s">
        <v>125</v>
      </c>
      <c r="B105" s="7" t="str">
        <f>VLOOKUP(Table2[[#This Row],[CaseNumber]],WH_Data[Case Number],1,FALSE)</f>
        <v>17984305</v>
      </c>
      <c r="C105" t="s">
        <v>14</v>
      </c>
      <c r="D105" s="3">
        <v>45715.765243055554</v>
      </c>
      <c r="E105" s="4">
        <v>1</v>
      </c>
      <c r="G105" t="s">
        <v>10</v>
      </c>
      <c r="H105" t="s">
        <v>17</v>
      </c>
      <c r="I105" t="s">
        <v>30</v>
      </c>
    </row>
    <row r="106" spans="1:9" hidden="1">
      <c r="A106" s="9" t="s">
        <v>126</v>
      </c>
      <c r="B106" s="7" t="str">
        <f>VLOOKUP(Table2[[#This Row],[CaseNumber]],WH_Data[Case Number],1,FALSE)</f>
        <v>17993507</v>
      </c>
      <c r="C106" t="s">
        <v>21</v>
      </c>
      <c r="D106" s="3">
        <v>45812.487997685188</v>
      </c>
      <c r="E106" s="4">
        <v>1</v>
      </c>
      <c r="G106" t="s">
        <v>10</v>
      </c>
      <c r="H106" t="s">
        <v>11</v>
      </c>
      <c r="I106" t="s">
        <v>30</v>
      </c>
    </row>
    <row r="107" spans="1:9" hidden="1">
      <c r="A107" s="9" t="s">
        <v>127</v>
      </c>
      <c r="B107" s="7" t="str">
        <f>VLOOKUP(Table2[[#This Row],[CaseNumber]],WH_Data[Case Number],1,FALSE)</f>
        <v>17993632</v>
      </c>
      <c r="C107" t="s">
        <v>29</v>
      </c>
      <c r="D107" s="3">
        <v>45804.460266203707</v>
      </c>
      <c r="E107" s="4">
        <v>0</v>
      </c>
      <c r="G107" t="s">
        <v>10</v>
      </c>
      <c r="H107" t="s">
        <v>11</v>
      </c>
      <c r="I107" t="s">
        <v>30</v>
      </c>
    </row>
    <row r="108" spans="1:9" hidden="1">
      <c r="A108" s="9" t="s">
        <v>128</v>
      </c>
      <c r="B108" s="7" t="str">
        <f>VLOOKUP(Table2[[#This Row],[CaseNumber]],WH_Data[Case Number],1,FALSE)</f>
        <v>17993736</v>
      </c>
      <c r="C108" t="s">
        <v>29</v>
      </c>
      <c r="D108" s="3">
        <v>45812.518263888887</v>
      </c>
      <c r="E108" s="4">
        <v>0</v>
      </c>
      <c r="G108" t="s">
        <v>10</v>
      </c>
      <c r="H108" t="s">
        <v>11</v>
      </c>
      <c r="I108" t="s">
        <v>30</v>
      </c>
    </row>
    <row r="109" spans="1:9" hidden="1">
      <c r="A109" s="9" t="s">
        <v>129</v>
      </c>
      <c r="B109" s="7" t="str">
        <f>VLOOKUP(Table2[[#This Row],[CaseNumber]],WH_Data[Case Number],1,FALSE)</f>
        <v>18001792</v>
      </c>
      <c r="C109" t="s">
        <v>29</v>
      </c>
      <c r="D109" s="3">
        <v>45706.427175925928</v>
      </c>
      <c r="E109" s="4">
        <v>1</v>
      </c>
      <c r="G109" t="s">
        <v>10</v>
      </c>
      <c r="H109" t="s">
        <v>17</v>
      </c>
      <c r="I109" t="s">
        <v>30</v>
      </c>
    </row>
    <row r="110" spans="1:9" hidden="1">
      <c r="A110" s="9" t="s">
        <v>130</v>
      </c>
      <c r="B110" s="7" t="str">
        <f>VLOOKUP(Table2[[#This Row],[CaseNumber]],WH_Data[Case Number],1,FALSE)</f>
        <v>18003239</v>
      </c>
      <c r="C110" t="s">
        <v>9</v>
      </c>
      <c r="D110" s="3">
        <v>45702.314699074072</v>
      </c>
      <c r="E110" s="4">
        <v>1</v>
      </c>
      <c r="G110" t="s">
        <v>10</v>
      </c>
      <c r="H110" t="s">
        <v>11</v>
      </c>
      <c r="I110" t="s">
        <v>30</v>
      </c>
    </row>
    <row r="111" spans="1:9" hidden="1">
      <c r="A111" s="9" t="s">
        <v>131</v>
      </c>
      <c r="B111" s="7" t="str">
        <f>VLOOKUP(Table2[[#This Row],[CaseNumber]],WH_Data[Case Number],1,FALSE)</f>
        <v>18003819</v>
      </c>
      <c r="C111" t="s">
        <v>9</v>
      </c>
      <c r="D111" s="3">
        <v>45751.497002314813</v>
      </c>
      <c r="E111" s="4">
        <v>1</v>
      </c>
      <c r="G111" t="s">
        <v>10</v>
      </c>
      <c r="H111" t="s">
        <v>19</v>
      </c>
      <c r="I111" t="s">
        <v>30</v>
      </c>
    </row>
    <row r="112" spans="1:9" hidden="1">
      <c r="A112" s="9" t="s">
        <v>132</v>
      </c>
      <c r="B112" s="7" t="str">
        <f>VLOOKUP(Table2[[#This Row],[CaseNumber]],WH_Data[Case Number],1,FALSE)</f>
        <v>18008927</v>
      </c>
      <c r="C112" t="s">
        <v>29</v>
      </c>
      <c r="D112" s="3">
        <v>45715.427233796298</v>
      </c>
      <c r="E112" s="4">
        <v>1</v>
      </c>
      <c r="G112" t="s">
        <v>10</v>
      </c>
      <c r="H112" t="s">
        <v>11</v>
      </c>
      <c r="I112" t="s">
        <v>30</v>
      </c>
    </row>
    <row r="113" spans="1:9" hidden="1">
      <c r="A113" s="9" t="s">
        <v>133</v>
      </c>
      <c r="B113" s="7" t="str">
        <f>VLOOKUP(Table2[[#This Row],[CaseNumber]],WH_Data[Case Number],1,FALSE)</f>
        <v>18008985</v>
      </c>
      <c r="C113" t="s">
        <v>29</v>
      </c>
      <c r="D113" s="3">
        <v>45715.427291666667</v>
      </c>
      <c r="E113" s="4">
        <v>1</v>
      </c>
      <c r="G113" t="s">
        <v>10</v>
      </c>
      <c r="H113" t="s">
        <v>11</v>
      </c>
      <c r="I113" t="s">
        <v>30</v>
      </c>
    </row>
    <row r="114" spans="1:9" hidden="1">
      <c r="A114" s="9" t="s">
        <v>134</v>
      </c>
      <c r="B114" s="7" t="str">
        <f>VLOOKUP(Table2[[#This Row],[CaseNumber]],WH_Data[Case Number],1,FALSE)</f>
        <v>18010634</v>
      </c>
      <c r="C114" t="s">
        <v>21</v>
      </c>
      <c r="D114" s="3">
        <v>45833.818611111114</v>
      </c>
      <c r="E114" s="4">
        <v>1</v>
      </c>
      <c r="G114" t="s">
        <v>10</v>
      </c>
      <c r="H114" t="s">
        <v>11</v>
      </c>
      <c r="I114" t="s">
        <v>30</v>
      </c>
    </row>
    <row r="115" spans="1:9" hidden="1">
      <c r="A115" s="9" t="s">
        <v>135</v>
      </c>
      <c r="B115" s="7" t="str">
        <f>VLOOKUP(Table2[[#This Row],[CaseNumber]],WH_Data[Case Number],1,FALSE)</f>
        <v>18010841</v>
      </c>
      <c r="C115" t="s">
        <v>9</v>
      </c>
      <c r="D115" s="3">
        <v>45792.523425925923</v>
      </c>
      <c r="E115" s="4">
        <v>1</v>
      </c>
      <c r="G115" t="s">
        <v>10</v>
      </c>
      <c r="H115" t="s">
        <v>44</v>
      </c>
      <c r="I115" t="s">
        <v>30</v>
      </c>
    </row>
    <row r="116" spans="1:9" hidden="1">
      <c r="A116" s="9" t="s">
        <v>136</v>
      </c>
      <c r="B116" s="7" t="str">
        <f>VLOOKUP(Table2[[#This Row],[CaseNumber]],WH_Data[Case Number],1,FALSE)</f>
        <v>18011267</v>
      </c>
      <c r="C116" t="s">
        <v>9</v>
      </c>
      <c r="D116" s="3">
        <v>45729.519583333335</v>
      </c>
      <c r="E116" s="4">
        <v>1</v>
      </c>
      <c r="G116" t="s">
        <v>10</v>
      </c>
      <c r="H116" t="s">
        <v>11</v>
      </c>
      <c r="I116" t="s">
        <v>30</v>
      </c>
    </row>
    <row r="117" spans="1:9" hidden="1">
      <c r="A117" s="9" t="s">
        <v>137</v>
      </c>
      <c r="B117" s="7" t="str">
        <f>VLOOKUP(Table2[[#This Row],[CaseNumber]],WH_Data[Case Number],1,FALSE)</f>
        <v>18014392</v>
      </c>
      <c r="C117" t="s">
        <v>9</v>
      </c>
      <c r="D117" s="3">
        <v>45798.660717592589</v>
      </c>
      <c r="E117" s="4">
        <v>0</v>
      </c>
      <c r="G117" t="s">
        <v>10</v>
      </c>
      <c r="H117" t="s">
        <v>15</v>
      </c>
      <c r="I117" t="s">
        <v>30</v>
      </c>
    </row>
    <row r="118" spans="1:9" hidden="1">
      <c r="A118" s="9" t="s">
        <v>138</v>
      </c>
      <c r="B118" s="7" t="str">
        <f>VLOOKUP(Table2[[#This Row],[CaseNumber]],WH_Data[Case Number],1,FALSE)</f>
        <v>18015602</v>
      </c>
      <c r="C118" t="s">
        <v>14</v>
      </c>
      <c r="D118" s="3">
        <v>45709.526435185187</v>
      </c>
      <c r="E118" s="4">
        <v>1</v>
      </c>
      <c r="G118" t="s">
        <v>10</v>
      </c>
      <c r="H118" t="s">
        <v>17</v>
      </c>
      <c r="I118" t="s">
        <v>30</v>
      </c>
    </row>
    <row r="119" spans="1:9" hidden="1">
      <c r="A119" s="9" t="s">
        <v>139</v>
      </c>
      <c r="B119" s="7" t="str">
        <f>VLOOKUP(Table2[[#This Row],[CaseNumber]],WH_Data[Case Number],1,FALSE)</f>
        <v>18017337</v>
      </c>
      <c r="C119" t="s">
        <v>9</v>
      </c>
      <c r="D119" s="3">
        <v>45756.375104166669</v>
      </c>
      <c r="E119" s="4">
        <v>0</v>
      </c>
      <c r="G119" t="s">
        <v>10</v>
      </c>
      <c r="H119" t="s">
        <v>15</v>
      </c>
      <c r="I119" t="s">
        <v>30</v>
      </c>
    </row>
    <row r="120" spans="1:9" hidden="1">
      <c r="A120" s="9" t="s">
        <v>140</v>
      </c>
      <c r="B120" s="7" t="str">
        <f>VLOOKUP(Table2[[#This Row],[CaseNumber]],WH_Data[Case Number],1,FALSE)</f>
        <v>18017383</v>
      </c>
      <c r="C120" t="s">
        <v>9</v>
      </c>
      <c r="D120" s="3">
        <v>45817.696689814817</v>
      </c>
      <c r="E120" s="4">
        <v>0</v>
      </c>
      <c r="G120" t="s">
        <v>10</v>
      </c>
      <c r="H120" t="s">
        <v>15</v>
      </c>
      <c r="I120" t="s">
        <v>30</v>
      </c>
    </row>
    <row r="121" spans="1:9" hidden="1">
      <c r="A121" s="9" t="s">
        <v>141</v>
      </c>
      <c r="B121" s="7" t="str">
        <f>VLOOKUP(Table2[[#This Row],[CaseNumber]],WH_Data[Case Number],1,FALSE)</f>
        <v>18019273</v>
      </c>
      <c r="C121" t="s">
        <v>29</v>
      </c>
      <c r="D121" s="3">
        <v>45803.597974537035</v>
      </c>
      <c r="E121" s="4">
        <v>1</v>
      </c>
      <c r="G121" t="s">
        <v>10</v>
      </c>
      <c r="H121" t="s">
        <v>19</v>
      </c>
      <c r="I121" t="s">
        <v>30</v>
      </c>
    </row>
    <row r="122" spans="1:9" hidden="1">
      <c r="A122" s="9" t="s">
        <v>142</v>
      </c>
      <c r="B122" s="7" t="str">
        <f>VLOOKUP(Table2[[#This Row],[CaseNumber]],WH_Data[Case Number],1,FALSE)</f>
        <v>18019468</v>
      </c>
      <c r="C122" t="s">
        <v>14</v>
      </c>
      <c r="D122" s="3">
        <v>45833.358877314815</v>
      </c>
      <c r="E122" s="4">
        <v>1</v>
      </c>
      <c r="G122" t="s">
        <v>10</v>
      </c>
      <c r="H122" t="s">
        <v>17</v>
      </c>
      <c r="I122" t="s">
        <v>30</v>
      </c>
    </row>
    <row r="123" spans="1:9" hidden="1">
      <c r="A123" s="9" t="s">
        <v>143</v>
      </c>
      <c r="B123" s="7" t="str">
        <f>VLOOKUP(Table2[[#This Row],[CaseNumber]],WH_Data[Case Number],1,FALSE)</f>
        <v>18027241</v>
      </c>
      <c r="C123" t="s">
        <v>9</v>
      </c>
      <c r="D123" s="3">
        <v>45730.592824074076</v>
      </c>
      <c r="E123" s="4">
        <v>1</v>
      </c>
      <c r="G123" t="s">
        <v>10</v>
      </c>
      <c r="H123" t="s">
        <v>17</v>
      </c>
      <c r="I123" t="s">
        <v>30</v>
      </c>
    </row>
    <row r="124" spans="1:9" hidden="1">
      <c r="A124" s="9" t="s">
        <v>144</v>
      </c>
      <c r="B124" s="7" t="str">
        <f>VLOOKUP(Table2[[#This Row],[CaseNumber]],WH_Data[Case Number],1,FALSE)</f>
        <v>18027316</v>
      </c>
      <c r="C124" t="s">
        <v>9</v>
      </c>
      <c r="D124" s="3">
        <v>45733.669432870367</v>
      </c>
      <c r="E124" s="4">
        <v>1</v>
      </c>
      <c r="G124" t="s">
        <v>10</v>
      </c>
      <c r="H124" t="s">
        <v>17</v>
      </c>
      <c r="I124" t="s">
        <v>30</v>
      </c>
    </row>
    <row r="125" spans="1:9" hidden="1">
      <c r="A125" s="9" t="s">
        <v>145</v>
      </c>
      <c r="B125" s="7" t="str">
        <f>VLOOKUP(Table2[[#This Row],[CaseNumber]],WH_Data[Case Number],1,FALSE)</f>
        <v>18027887</v>
      </c>
      <c r="C125" t="s">
        <v>9</v>
      </c>
      <c r="D125" s="3">
        <v>45807.725358796299</v>
      </c>
      <c r="E125" s="4">
        <v>1</v>
      </c>
      <c r="G125" t="s">
        <v>10</v>
      </c>
      <c r="H125" t="s">
        <v>44</v>
      </c>
      <c r="I125" t="s">
        <v>30</v>
      </c>
    </row>
    <row r="126" spans="1:9" hidden="1">
      <c r="A126" s="9" t="s">
        <v>146</v>
      </c>
      <c r="B126" s="7" t="str">
        <f>VLOOKUP(Table2[[#This Row],[CaseNumber]],WH_Data[Case Number],1,FALSE)</f>
        <v>18037293</v>
      </c>
      <c r="C126" t="s">
        <v>9</v>
      </c>
      <c r="D126" s="3">
        <v>45889.427187499998</v>
      </c>
      <c r="E126" s="4">
        <v>0</v>
      </c>
      <c r="G126" t="s">
        <v>10</v>
      </c>
      <c r="H126" t="s">
        <v>15</v>
      </c>
      <c r="I126" t="s">
        <v>30</v>
      </c>
    </row>
    <row r="127" spans="1:9" hidden="1">
      <c r="A127" s="9" t="s">
        <v>147</v>
      </c>
      <c r="B127" s="7" t="str">
        <f>VLOOKUP(Table2[[#This Row],[CaseNumber]],WH_Data[Case Number],1,FALSE)</f>
        <v>18045445</v>
      </c>
      <c r="C127" t="s">
        <v>9</v>
      </c>
      <c r="D127" s="3">
        <v>45713.220243055555</v>
      </c>
      <c r="E127" s="4">
        <v>1</v>
      </c>
      <c r="G127" t="s">
        <v>10</v>
      </c>
      <c r="H127" t="s">
        <v>17</v>
      </c>
      <c r="I127" t="s">
        <v>30</v>
      </c>
    </row>
    <row r="128" spans="1:9" hidden="1">
      <c r="A128" s="9" t="s">
        <v>148</v>
      </c>
      <c r="B128" s="7" t="str">
        <f>VLOOKUP(Table2[[#This Row],[CaseNumber]],WH_Data[Case Number],1,FALSE)</f>
        <v>18045478</v>
      </c>
      <c r="C128" t="s">
        <v>9</v>
      </c>
      <c r="D128" s="3">
        <v>45702.324444444443</v>
      </c>
      <c r="E128" s="4">
        <v>1</v>
      </c>
      <c r="G128" t="s">
        <v>10</v>
      </c>
      <c r="H128" t="s">
        <v>17</v>
      </c>
      <c r="I128" t="s">
        <v>30</v>
      </c>
    </row>
    <row r="129" spans="1:9" hidden="1">
      <c r="A129" s="9" t="s">
        <v>149</v>
      </c>
      <c r="B129" s="7" t="str">
        <f>VLOOKUP(Table2[[#This Row],[CaseNumber]],WH_Data[Case Number],1,FALSE)</f>
        <v>18045505</v>
      </c>
      <c r="C129" t="s">
        <v>21</v>
      </c>
      <c r="D129" s="3">
        <v>45713.227222222224</v>
      </c>
      <c r="E129" s="4">
        <v>1</v>
      </c>
      <c r="G129" t="s">
        <v>10</v>
      </c>
      <c r="H129" t="s">
        <v>17</v>
      </c>
      <c r="I129" t="s">
        <v>30</v>
      </c>
    </row>
    <row r="130" spans="1:9" hidden="1">
      <c r="A130" s="9" t="s">
        <v>150</v>
      </c>
      <c r="B130" s="7" t="str">
        <f>VLOOKUP(Table2[[#This Row],[CaseNumber]],WH_Data[Case Number],1,FALSE)</f>
        <v>18055523</v>
      </c>
      <c r="C130" t="s">
        <v>29</v>
      </c>
      <c r="D130" s="3">
        <v>45768.775567129633</v>
      </c>
      <c r="E130" s="4">
        <v>1</v>
      </c>
      <c r="G130" t="s">
        <v>10</v>
      </c>
      <c r="H130" t="s">
        <v>19</v>
      </c>
      <c r="I130" t="s">
        <v>30</v>
      </c>
    </row>
    <row r="131" spans="1:9" hidden="1">
      <c r="A131" s="9" t="s">
        <v>151</v>
      </c>
      <c r="B131" s="7" t="str">
        <f>VLOOKUP(Table2[[#This Row],[CaseNumber]],WH_Data[Case Number],1,FALSE)</f>
        <v>18056402</v>
      </c>
      <c r="C131" t="s">
        <v>29</v>
      </c>
      <c r="D131" s="3">
        <v>45720.31517361111</v>
      </c>
      <c r="E131" s="4">
        <v>1</v>
      </c>
      <c r="G131" t="s">
        <v>10</v>
      </c>
      <c r="H131" t="s">
        <v>11</v>
      </c>
      <c r="I131" t="s">
        <v>30</v>
      </c>
    </row>
    <row r="132" spans="1:9" hidden="1">
      <c r="A132" s="9" t="s">
        <v>152</v>
      </c>
      <c r="B132" s="7" t="str">
        <f>VLOOKUP(Table2[[#This Row],[CaseNumber]],WH_Data[Case Number],1,FALSE)</f>
        <v>18058982</v>
      </c>
      <c r="C132" t="s">
        <v>21</v>
      </c>
      <c r="D132" s="3">
        <v>45751.892905092594</v>
      </c>
      <c r="E132" s="4">
        <v>1</v>
      </c>
      <c r="G132" t="s">
        <v>10</v>
      </c>
      <c r="H132" t="s">
        <v>11</v>
      </c>
      <c r="I132" t="s">
        <v>30</v>
      </c>
    </row>
    <row r="133" spans="1:9" hidden="1">
      <c r="A133" s="9" t="s">
        <v>153</v>
      </c>
      <c r="B133" s="7" t="str">
        <f>VLOOKUP(Table2[[#This Row],[CaseNumber]],WH_Data[Case Number],1,FALSE)</f>
        <v>18059379</v>
      </c>
      <c r="C133" t="s">
        <v>9</v>
      </c>
      <c r="D133" s="3">
        <v>45771.246874999997</v>
      </c>
      <c r="E133" s="4">
        <v>1</v>
      </c>
      <c r="G133" t="s">
        <v>10</v>
      </c>
      <c r="H133" t="s">
        <v>46</v>
      </c>
      <c r="I133" t="s">
        <v>30</v>
      </c>
    </row>
    <row r="134" spans="1:9" hidden="1">
      <c r="A134" s="9" t="s">
        <v>154</v>
      </c>
      <c r="B134" s="7" t="str">
        <f>VLOOKUP(Table2[[#This Row],[CaseNumber]],WH_Data[Case Number],1,FALSE)</f>
        <v>18060519</v>
      </c>
      <c r="C134" t="s">
        <v>21</v>
      </c>
      <c r="D134" s="3">
        <v>45751.455995370372</v>
      </c>
      <c r="E134" s="4">
        <v>1</v>
      </c>
      <c r="G134" t="s">
        <v>10</v>
      </c>
      <c r="H134" t="s">
        <v>19</v>
      </c>
      <c r="I134" t="s">
        <v>30</v>
      </c>
    </row>
    <row r="135" spans="1:9" hidden="1">
      <c r="A135" s="9" t="s">
        <v>155</v>
      </c>
      <c r="B135" s="7" t="str">
        <f>VLOOKUP(Table2[[#This Row],[CaseNumber]],WH_Data[Case Number],1,FALSE)</f>
        <v>18062180</v>
      </c>
      <c r="C135" t="s">
        <v>21</v>
      </c>
      <c r="D135" s="3">
        <v>45758.478935185187</v>
      </c>
      <c r="E135" s="4">
        <v>1</v>
      </c>
      <c r="G135" t="s">
        <v>10</v>
      </c>
      <c r="H135" t="s">
        <v>11</v>
      </c>
      <c r="I135" t="s">
        <v>30</v>
      </c>
    </row>
    <row r="136" spans="1:9" hidden="1">
      <c r="A136" s="9" t="s">
        <v>156</v>
      </c>
      <c r="B136" s="7" t="str">
        <f>VLOOKUP(Table2[[#This Row],[CaseNumber]],WH_Data[Case Number],1,FALSE)</f>
        <v>18066414</v>
      </c>
      <c r="C136" t="s">
        <v>21</v>
      </c>
      <c r="D136" s="3">
        <v>45749.788356481484</v>
      </c>
      <c r="E136" s="4">
        <v>1</v>
      </c>
      <c r="G136" t="s">
        <v>10</v>
      </c>
      <c r="H136" t="s">
        <v>11</v>
      </c>
      <c r="I136" t="s">
        <v>30</v>
      </c>
    </row>
    <row r="137" spans="1:9" hidden="1">
      <c r="A137" s="9" t="s">
        <v>157</v>
      </c>
      <c r="B137" s="7" t="str">
        <f>VLOOKUP(Table2[[#This Row],[CaseNumber]],WH_Data[Case Number],1,FALSE)</f>
        <v>18073361</v>
      </c>
      <c r="C137" t="s">
        <v>9</v>
      </c>
      <c r="D137" s="3">
        <v>45798.665706018517</v>
      </c>
      <c r="E137" s="4">
        <v>0</v>
      </c>
      <c r="G137" t="s">
        <v>10</v>
      </c>
      <c r="H137" t="s">
        <v>44</v>
      </c>
      <c r="I137" t="s">
        <v>30</v>
      </c>
    </row>
    <row r="138" spans="1:9" hidden="1">
      <c r="A138" s="9" t="s">
        <v>158</v>
      </c>
      <c r="B138" s="7" t="str">
        <f>VLOOKUP(Table2[[#This Row],[CaseNumber]],WH_Data[Case Number],1,FALSE)</f>
        <v>18076600</v>
      </c>
      <c r="C138" t="s">
        <v>29</v>
      </c>
      <c r="D138" s="3">
        <v>45768.759780092594</v>
      </c>
      <c r="E138" s="4">
        <v>1</v>
      </c>
      <c r="G138" t="s">
        <v>10</v>
      </c>
      <c r="H138" t="s">
        <v>11</v>
      </c>
      <c r="I138" t="s">
        <v>30</v>
      </c>
    </row>
    <row r="139" spans="1:9" hidden="1">
      <c r="A139" s="9" t="s">
        <v>159</v>
      </c>
      <c r="B139" s="7" t="str">
        <f>VLOOKUP(Table2[[#This Row],[CaseNumber]],WH_Data[Case Number],1,FALSE)</f>
        <v>18077019</v>
      </c>
      <c r="C139" t="s">
        <v>21</v>
      </c>
      <c r="D139" s="3">
        <v>45813.566018518519</v>
      </c>
      <c r="E139" s="4">
        <v>1</v>
      </c>
      <c r="G139" t="s">
        <v>10</v>
      </c>
      <c r="H139" t="s">
        <v>11</v>
      </c>
      <c r="I139" t="s">
        <v>30</v>
      </c>
    </row>
    <row r="140" spans="1:9" hidden="1">
      <c r="A140" s="9" t="s">
        <v>160</v>
      </c>
      <c r="B140" s="7" t="str">
        <f>VLOOKUP(Table2[[#This Row],[CaseNumber]],WH_Data[Case Number],1,FALSE)</f>
        <v>18089318</v>
      </c>
      <c r="C140" t="s">
        <v>14</v>
      </c>
      <c r="D140" s="3">
        <v>45750.257604166669</v>
      </c>
      <c r="E140" s="4">
        <v>1</v>
      </c>
      <c r="G140" t="s">
        <v>10</v>
      </c>
      <c r="H140" t="s">
        <v>11</v>
      </c>
      <c r="I140" t="s">
        <v>30</v>
      </c>
    </row>
    <row r="141" spans="1:9" hidden="1">
      <c r="A141" s="9" t="s">
        <v>161</v>
      </c>
      <c r="B141" s="7" t="str">
        <f>VLOOKUP(Table2[[#This Row],[CaseNumber]],WH_Data[Case Number],1,FALSE)</f>
        <v>18096454</v>
      </c>
      <c r="C141" t="s">
        <v>9</v>
      </c>
      <c r="D141" s="3">
        <v>45749.807060185187</v>
      </c>
      <c r="E141" s="4">
        <v>1</v>
      </c>
      <c r="G141" t="s">
        <v>10</v>
      </c>
      <c r="H141" t="s">
        <v>17</v>
      </c>
      <c r="I141" t="s">
        <v>30</v>
      </c>
    </row>
    <row r="142" spans="1:9" hidden="1">
      <c r="A142" s="9" t="s">
        <v>162</v>
      </c>
      <c r="B142" s="7" t="str">
        <f>VLOOKUP(Table2[[#This Row],[CaseNumber]],WH_Data[Case Number],1,FALSE)</f>
        <v>18104951</v>
      </c>
      <c r="C142" t="s">
        <v>29</v>
      </c>
      <c r="D142" s="3">
        <v>45945.385358796295</v>
      </c>
      <c r="E142" s="4">
        <v>0</v>
      </c>
      <c r="G142" t="s">
        <v>10</v>
      </c>
      <c r="H142" t="s">
        <v>19</v>
      </c>
      <c r="I142" t="s">
        <v>30</v>
      </c>
    </row>
    <row r="143" spans="1:9" hidden="1">
      <c r="A143" s="9" t="s">
        <v>163</v>
      </c>
      <c r="B143" s="7" t="str">
        <f>VLOOKUP(Table2[[#This Row],[CaseNumber]],WH_Data[Case Number],1,FALSE)</f>
        <v>18111785</v>
      </c>
      <c r="C143" t="s">
        <v>14</v>
      </c>
      <c r="D143" s="3">
        <v>45820.547650462962</v>
      </c>
      <c r="E143" s="4">
        <v>0</v>
      </c>
      <c r="G143" t="s">
        <v>10</v>
      </c>
      <c r="H143" t="s">
        <v>44</v>
      </c>
      <c r="I143" t="s">
        <v>30</v>
      </c>
    </row>
    <row r="144" spans="1:9" hidden="1">
      <c r="A144" s="9" t="s">
        <v>164</v>
      </c>
      <c r="B144" s="7" t="str">
        <f>VLOOKUP(Table2[[#This Row],[CaseNumber]],WH_Data[Case Number],1,FALSE)</f>
        <v>18113463</v>
      </c>
      <c r="C144" t="s">
        <v>21</v>
      </c>
      <c r="D144" s="3">
        <v>45874.331817129627</v>
      </c>
      <c r="E144" s="4">
        <v>0</v>
      </c>
      <c r="G144" t="s">
        <v>10</v>
      </c>
      <c r="H144" t="s">
        <v>11</v>
      </c>
      <c r="I144" t="s">
        <v>30</v>
      </c>
    </row>
    <row r="145" spans="1:9" hidden="1">
      <c r="A145" s="9" t="s">
        <v>165</v>
      </c>
      <c r="B145" s="7" t="str">
        <f>VLOOKUP(Table2[[#This Row],[CaseNumber]],WH_Data[Case Number],1,FALSE)</f>
        <v>18126570</v>
      </c>
      <c r="C145" t="s">
        <v>9</v>
      </c>
      <c r="D145" s="3">
        <v>45776.836898148147</v>
      </c>
      <c r="E145" s="4">
        <v>1</v>
      </c>
      <c r="G145" t="s">
        <v>10</v>
      </c>
      <c r="H145" t="s">
        <v>46</v>
      </c>
      <c r="I145" t="s">
        <v>30</v>
      </c>
    </row>
    <row r="146" spans="1:9" hidden="1">
      <c r="A146" s="9" t="s">
        <v>166</v>
      </c>
      <c r="B146" s="7" t="str">
        <f>VLOOKUP(Table2[[#This Row],[CaseNumber]],WH_Data[Case Number],1,FALSE)</f>
        <v>18137309</v>
      </c>
      <c r="C146" t="s">
        <v>21</v>
      </c>
      <c r="D146" s="3">
        <v>45862.594131944446</v>
      </c>
      <c r="E146" s="4">
        <v>1</v>
      </c>
      <c r="G146" t="s">
        <v>10</v>
      </c>
      <c r="H146" t="s">
        <v>11</v>
      </c>
      <c r="I146" t="s">
        <v>30</v>
      </c>
    </row>
    <row r="147" spans="1:9" hidden="1">
      <c r="A147" s="9" t="s">
        <v>167</v>
      </c>
      <c r="B147" s="7" t="str">
        <f>VLOOKUP(Table2[[#This Row],[CaseNumber]],WH_Data[Case Number],1,FALSE)</f>
        <v>18149865</v>
      </c>
      <c r="C147" t="s">
        <v>29</v>
      </c>
      <c r="D147" s="3">
        <v>45786.578622685185</v>
      </c>
      <c r="E147" s="4">
        <v>1</v>
      </c>
      <c r="G147" t="s">
        <v>10</v>
      </c>
      <c r="H147" t="s">
        <v>11</v>
      </c>
      <c r="I147" t="s">
        <v>30</v>
      </c>
    </row>
    <row r="148" spans="1:9" hidden="1">
      <c r="A148" s="9" t="s">
        <v>168</v>
      </c>
      <c r="B148" s="7" t="str">
        <f>VLOOKUP(Table2[[#This Row],[CaseNumber]],WH_Data[Case Number],1,FALSE)</f>
        <v>18150734</v>
      </c>
      <c r="C148" t="s">
        <v>14</v>
      </c>
      <c r="D148" s="3">
        <v>45958.601539351854</v>
      </c>
      <c r="E148" s="4">
        <v>1</v>
      </c>
      <c r="G148" t="s">
        <v>10</v>
      </c>
      <c r="H148" t="s">
        <v>44</v>
      </c>
      <c r="I148" t="s">
        <v>30</v>
      </c>
    </row>
    <row r="149" spans="1:9" hidden="1">
      <c r="A149" s="9" t="s">
        <v>169</v>
      </c>
      <c r="B149" s="7" t="str">
        <f>VLOOKUP(Table2[[#This Row],[CaseNumber]],WH_Data[Case Number],1,FALSE)</f>
        <v>18159523</v>
      </c>
      <c r="C149" t="s">
        <v>21</v>
      </c>
      <c r="D149" s="3">
        <v>45790.3278125</v>
      </c>
      <c r="E149" s="4">
        <v>1</v>
      </c>
      <c r="G149" t="s">
        <v>10</v>
      </c>
      <c r="H149" t="s">
        <v>11</v>
      </c>
      <c r="I149" t="s">
        <v>30</v>
      </c>
    </row>
    <row r="150" spans="1:9" hidden="1">
      <c r="A150" s="9" t="s">
        <v>170</v>
      </c>
      <c r="B150" s="7" t="str">
        <f>VLOOKUP(Table2[[#This Row],[CaseNumber]],WH_Data[Case Number],1,FALSE)</f>
        <v>18160161</v>
      </c>
      <c r="C150" t="s">
        <v>9</v>
      </c>
      <c r="D150" s="3">
        <v>45754.368796296294</v>
      </c>
      <c r="E150" s="4">
        <v>1</v>
      </c>
      <c r="G150" t="s">
        <v>10</v>
      </c>
      <c r="H150" t="s">
        <v>17</v>
      </c>
      <c r="I150" t="s">
        <v>30</v>
      </c>
    </row>
    <row r="151" spans="1:9" hidden="1">
      <c r="A151" s="9" t="s">
        <v>171</v>
      </c>
      <c r="B151" s="7" t="str">
        <f>VLOOKUP(Table2[[#This Row],[CaseNumber]],WH_Data[Case Number],1,FALSE)</f>
        <v>18160180</v>
      </c>
      <c r="C151" t="s">
        <v>9</v>
      </c>
      <c r="D151" s="3">
        <v>45755.345555555556</v>
      </c>
      <c r="E151" s="4">
        <v>1</v>
      </c>
      <c r="G151" t="s">
        <v>10</v>
      </c>
      <c r="H151" t="s">
        <v>17</v>
      </c>
      <c r="I151" t="s">
        <v>30</v>
      </c>
    </row>
    <row r="152" spans="1:9" hidden="1">
      <c r="A152" s="9" t="s">
        <v>172</v>
      </c>
      <c r="B152" s="7" t="str">
        <f>VLOOKUP(Table2[[#This Row],[CaseNumber]],WH_Data[Case Number],1,FALSE)</f>
        <v>18160184</v>
      </c>
      <c r="C152" t="s">
        <v>9</v>
      </c>
      <c r="D152" s="3">
        <v>45762.242002314815</v>
      </c>
      <c r="E152" s="4">
        <v>1</v>
      </c>
      <c r="G152" t="s">
        <v>10</v>
      </c>
      <c r="H152" t="s">
        <v>17</v>
      </c>
      <c r="I152" t="s">
        <v>30</v>
      </c>
    </row>
    <row r="153" spans="1:9" hidden="1">
      <c r="A153" s="9" t="s">
        <v>173</v>
      </c>
      <c r="B153" s="7" t="str">
        <f>VLOOKUP(Table2[[#This Row],[CaseNumber]],WH_Data[Case Number],1,FALSE)</f>
        <v>18160190</v>
      </c>
      <c r="C153" t="s">
        <v>9</v>
      </c>
      <c r="D153" s="3">
        <v>45754.250902777778</v>
      </c>
      <c r="E153" s="4">
        <v>1</v>
      </c>
      <c r="G153" t="s">
        <v>10</v>
      </c>
      <c r="H153" t="s">
        <v>17</v>
      </c>
      <c r="I153" t="s">
        <v>30</v>
      </c>
    </row>
    <row r="154" spans="1:9" hidden="1">
      <c r="A154" s="9" t="s">
        <v>174</v>
      </c>
      <c r="B154" s="7" t="str">
        <f>VLOOKUP(Table2[[#This Row],[CaseNumber]],WH_Data[Case Number],1,FALSE)</f>
        <v>18160199</v>
      </c>
      <c r="C154" t="s">
        <v>9</v>
      </c>
      <c r="D154" s="3">
        <v>45754.251481481479</v>
      </c>
      <c r="E154" s="4">
        <v>1</v>
      </c>
      <c r="G154" t="s">
        <v>10</v>
      </c>
      <c r="H154" t="s">
        <v>17</v>
      </c>
      <c r="I154" t="s">
        <v>30</v>
      </c>
    </row>
    <row r="155" spans="1:9" hidden="1">
      <c r="A155" s="9" t="s">
        <v>175</v>
      </c>
      <c r="B155" s="7" t="str">
        <f>VLOOKUP(Table2[[#This Row],[CaseNumber]],WH_Data[Case Number],1,FALSE)</f>
        <v>18160207</v>
      </c>
      <c r="C155" t="s">
        <v>9</v>
      </c>
      <c r="D155" s="3">
        <v>45756.309953703705</v>
      </c>
      <c r="E155" s="4">
        <v>1</v>
      </c>
      <c r="G155" t="s">
        <v>10</v>
      </c>
      <c r="H155" t="s">
        <v>17</v>
      </c>
      <c r="I155" t="s">
        <v>30</v>
      </c>
    </row>
    <row r="156" spans="1:9" hidden="1">
      <c r="A156" s="9" t="s">
        <v>176</v>
      </c>
      <c r="B156" s="7" t="str">
        <f>VLOOKUP(Table2[[#This Row],[CaseNumber]],WH_Data[Case Number],1,FALSE)</f>
        <v>18160215</v>
      </c>
      <c r="C156" t="s">
        <v>9</v>
      </c>
      <c r="D156" s="3">
        <v>45762.241342592592</v>
      </c>
      <c r="E156" s="4">
        <v>1</v>
      </c>
      <c r="G156" t="s">
        <v>10</v>
      </c>
      <c r="H156" t="s">
        <v>17</v>
      </c>
      <c r="I156" t="s">
        <v>30</v>
      </c>
    </row>
    <row r="157" spans="1:9" hidden="1">
      <c r="A157" s="9" t="s">
        <v>177</v>
      </c>
      <c r="B157" s="7" t="str">
        <f>VLOOKUP(Table2[[#This Row],[CaseNumber]],WH_Data[Case Number],1,FALSE)</f>
        <v>18160218</v>
      </c>
      <c r="C157" t="s">
        <v>9</v>
      </c>
      <c r="D157" s="3">
        <v>45754.25068287037</v>
      </c>
      <c r="E157" s="4">
        <v>1</v>
      </c>
      <c r="G157" t="s">
        <v>10</v>
      </c>
      <c r="H157" t="s">
        <v>17</v>
      </c>
      <c r="I157" t="s">
        <v>30</v>
      </c>
    </row>
    <row r="158" spans="1:9" hidden="1">
      <c r="A158" s="9" t="s">
        <v>178</v>
      </c>
      <c r="B158" s="7" t="str">
        <f>VLOOKUP(Table2[[#This Row],[CaseNumber]],WH_Data[Case Number],1,FALSE)</f>
        <v>18160224</v>
      </c>
      <c r="C158" t="s">
        <v>9</v>
      </c>
      <c r="D158" s="3">
        <v>45762.240983796299</v>
      </c>
      <c r="E158" s="4">
        <v>1</v>
      </c>
      <c r="G158" t="s">
        <v>10</v>
      </c>
      <c r="H158" t="s">
        <v>17</v>
      </c>
      <c r="I158" t="s">
        <v>30</v>
      </c>
    </row>
    <row r="159" spans="1:9" hidden="1">
      <c r="A159" s="9" t="s">
        <v>179</v>
      </c>
      <c r="B159" s="7" t="str">
        <f>VLOOKUP(Table2[[#This Row],[CaseNumber]],WH_Data[Case Number],1,FALSE)</f>
        <v>18160227</v>
      </c>
      <c r="C159" t="s">
        <v>9</v>
      </c>
      <c r="D159" s="3">
        <v>45757.225624999999</v>
      </c>
      <c r="E159" s="4">
        <v>1</v>
      </c>
      <c r="G159" t="s">
        <v>10</v>
      </c>
      <c r="H159" t="s">
        <v>17</v>
      </c>
      <c r="I159" t="s">
        <v>30</v>
      </c>
    </row>
    <row r="160" spans="1:9" hidden="1">
      <c r="A160" s="9" t="s">
        <v>180</v>
      </c>
      <c r="B160" s="7" t="str">
        <f>VLOOKUP(Table2[[#This Row],[CaseNumber]],WH_Data[Case Number],1,FALSE)</f>
        <v>18160561</v>
      </c>
      <c r="C160" t="s">
        <v>29</v>
      </c>
      <c r="D160" s="3">
        <v>45903.635717592595</v>
      </c>
      <c r="E160" s="4">
        <v>0</v>
      </c>
      <c r="G160" t="s">
        <v>10</v>
      </c>
      <c r="H160" t="s">
        <v>11</v>
      </c>
      <c r="I160" t="s">
        <v>30</v>
      </c>
    </row>
    <row r="161" spans="1:9" hidden="1">
      <c r="A161" s="9" t="s">
        <v>181</v>
      </c>
      <c r="B161" s="7" t="str">
        <f>VLOOKUP(Table2[[#This Row],[CaseNumber]],WH_Data[Case Number],1,FALSE)</f>
        <v>18163762</v>
      </c>
      <c r="C161" t="s">
        <v>21</v>
      </c>
      <c r="D161" s="3">
        <v>45833.6327662037</v>
      </c>
      <c r="E161" s="4">
        <v>1</v>
      </c>
      <c r="G161" t="s">
        <v>10</v>
      </c>
      <c r="H161" t="s">
        <v>11</v>
      </c>
      <c r="I161" t="s">
        <v>30</v>
      </c>
    </row>
    <row r="162" spans="1:9" hidden="1">
      <c r="A162" s="9" t="s">
        <v>182</v>
      </c>
      <c r="B162" s="7" t="str">
        <f>VLOOKUP(Table2[[#This Row],[CaseNumber]],WH_Data[Case Number],1,FALSE)</f>
        <v>18163886</v>
      </c>
      <c r="C162" t="s">
        <v>9</v>
      </c>
      <c r="D162" s="3">
        <v>45803.549513888887</v>
      </c>
      <c r="E162" s="4">
        <v>1</v>
      </c>
      <c r="G162" t="s">
        <v>10</v>
      </c>
      <c r="H162" t="s">
        <v>19</v>
      </c>
      <c r="I162" t="s">
        <v>30</v>
      </c>
    </row>
    <row r="163" spans="1:9" hidden="1">
      <c r="A163" s="9" t="s">
        <v>183</v>
      </c>
      <c r="B163" s="7" t="str">
        <f>VLOOKUP(Table2[[#This Row],[CaseNumber]],WH_Data[Case Number],1,FALSE)</f>
        <v>18163949</v>
      </c>
      <c r="C163" t="s">
        <v>9</v>
      </c>
      <c r="D163" s="3">
        <v>45798.324606481481</v>
      </c>
      <c r="E163" s="4">
        <v>1</v>
      </c>
      <c r="G163" t="s">
        <v>10</v>
      </c>
      <c r="H163" t="s">
        <v>19</v>
      </c>
      <c r="I163" t="s">
        <v>30</v>
      </c>
    </row>
    <row r="164" spans="1:9" hidden="1">
      <c r="A164" s="9" t="s">
        <v>184</v>
      </c>
      <c r="B164" s="7" t="str">
        <f>VLOOKUP(Table2[[#This Row],[CaseNumber]],WH_Data[Case Number],1,FALSE)</f>
        <v>18164050</v>
      </c>
      <c r="C164" t="s">
        <v>9</v>
      </c>
      <c r="D164" s="3">
        <v>45833.62090277778</v>
      </c>
      <c r="E164" s="4">
        <v>1</v>
      </c>
      <c r="G164" t="s">
        <v>10</v>
      </c>
      <c r="H164" t="s">
        <v>11</v>
      </c>
      <c r="I164" t="s">
        <v>30</v>
      </c>
    </row>
    <row r="165" spans="1:9" hidden="1">
      <c r="A165" s="9" t="s">
        <v>185</v>
      </c>
      <c r="B165" s="7" t="str">
        <f>VLOOKUP(Table2[[#This Row],[CaseNumber]],WH_Data[Case Number],1,FALSE)</f>
        <v>18164119</v>
      </c>
      <c r="C165" t="s">
        <v>14</v>
      </c>
      <c r="D165" s="3">
        <v>45833.622314814813</v>
      </c>
      <c r="E165" s="4">
        <v>1</v>
      </c>
      <c r="G165" t="s">
        <v>10</v>
      </c>
      <c r="H165" t="s">
        <v>11</v>
      </c>
      <c r="I165" t="s">
        <v>30</v>
      </c>
    </row>
    <row r="166" spans="1:9" hidden="1">
      <c r="A166" s="9" t="s">
        <v>186</v>
      </c>
      <c r="B166" s="7" t="str">
        <f>VLOOKUP(Table2[[#This Row],[CaseNumber]],WH_Data[Case Number],1,FALSE)</f>
        <v>18164372</v>
      </c>
      <c r="C166" t="s">
        <v>21</v>
      </c>
      <c r="D166" s="3">
        <v>45833.624351851853</v>
      </c>
      <c r="E166" s="4">
        <v>1</v>
      </c>
      <c r="G166" t="s">
        <v>10</v>
      </c>
      <c r="H166" t="s">
        <v>11</v>
      </c>
      <c r="I166" t="s">
        <v>30</v>
      </c>
    </row>
    <row r="167" spans="1:9" hidden="1">
      <c r="A167" s="9" t="s">
        <v>187</v>
      </c>
      <c r="B167" s="7" t="str">
        <f>VLOOKUP(Table2[[#This Row],[CaseNumber]],WH_Data[Case Number],1,FALSE)</f>
        <v>18164434</v>
      </c>
      <c r="C167" t="s">
        <v>21</v>
      </c>
      <c r="D167" s="3">
        <v>45834.587534722225</v>
      </c>
      <c r="E167" s="4">
        <v>1</v>
      </c>
      <c r="G167" t="s">
        <v>10</v>
      </c>
      <c r="H167" t="s">
        <v>11</v>
      </c>
      <c r="I167" t="s">
        <v>30</v>
      </c>
    </row>
    <row r="168" spans="1:9" hidden="1">
      <c r="A168" s="9" t="s">
        <v>188</v>
      </c>
      <c r="B168" s="7" t="str">
        <f>VLOOKUP(Table2[[#This Row],[CaseNumber]],WH_Data[Case Number],1,FALSE)</f>
        <v>18164487</v>
      </c>
      <c r="C168" t="s">
        <v>9</v>
      </c>
      <c r="D168" s="3">
        <v>45834.584814814814</v>
      </c>
      <c r="E168" s="4">
        <v>1</v>
      </c>
      <c r="G168" t="s">
        <v>10</v>
      </c>
      <c r="H168" t="s">
        <v>11</v>
      </c>
      <c r="I168" t="s">
        <v>30</v>
      </c>
    </row>
    <row r="169" spans="1:9" hidden="1">
      <c r="A169" s="9" t="s">
        <v>189</v>
      </c>
      <c r="B169" s="7" t="str">
        <f>VLOOKUP(Table2[[#This Row],[CaseNumber]],WH_Data[Case Number],1,FALSE)</f>
        <v>18164515</v>
      </c>
      <c r="C169" t="s">
        <v>9</v>
      </c>
      <c r="D169" s="3">
        <v>45834.584861111114</v>
      </c>
      <c r="E169" s="4">
        <v>1</v>
      </c>
      <c r="G169" t="s">
        <v>10</v>
      </c>
      <c r="H169" t="s">
        <v>11</v>
      </c>
      <c r="I169" t="s">
        <v>30</v>
      </c>
    </row>
    <row r="170" spans="1:9" hidden="1">
      <c r="A170" s="9" t="s">
        <v>190</v>
      </c>
      <c r="B170" s="7" t="str">
        <f>VLOOKUP(Table2[[#This Row],[CaseNumber]],WH_Data[Case Number],1,FALSE)</f>
        <v>18164548</v>
      </c>
      <c r="C170" t="s">
        <v>9</v>
      </c>
      <c r="D170" s="3">
        <v>45849.747604166667</v>
      </c>
      <c r="E170" s="4">
        <v>0</v>
      </c>
      <c r="G170" t="s">
        <v>10</v>
      </c>
      <c r="H170" t="s">
        <v>11</v>
      </c>
      <c r="I170" t="s">
        <v>30</v>
      </c>
    </row>
    <row r="171" spans="1:9" hidden="1">
      <c r="A171" s="9" t="s">
        <v>191</v>
      </c>
      <c r="B171" s="7" t="str">
        <f>VLOOKUP(Table2[[#This Row],[CaseNumber]],WH_Data[Case Number],1,FALSE)</f>
        <v>18166857</v>
      </c>
      <c r="C171" t="s">
        <v>29</v>
      </c>
      <c r="D171" s="3">
        <v>45791.569930555554</v>
      </c>
      <c r="E171" s="4">
        <v>1</v>
      </c>
      <c r="G171" t="s">
        <v>10</v>
      </c>
      <c r="H171" t="s">
        <v>17</v>
      </c>
      <c r="I171" t="s">
        <v>30</v>
      </c>
    </row>
    <row r="172" spans="1:9" hidden="1">
      <c r="A172" s="9" t="s">
        <v>192</v>
      </c>
      <c r="B172" s="7" t="str">
        <f>VLOOKUP(Table2[[#This Row],[CaseNumber]],WH_Data[Case Number],1,FALSE)</f>
        <v>18173647</v>
      </c>
      <c r="C172" t="s">
        <v>29</v>
      </c>
      <c r="D172" s="3">
        <v>45791.57</v>
      </c>
      <c r="E172" s="4">
        <v>1</v>
      </c>
      <c r="G172" t="s">
        <v>10</v>
      </c>
      <c r="H172" t="s">
        <v>17</v>
      </c>
      <c r="I172" t="s">
        <v>30</v>
      </c>
    </row>
    <row r="173" spans="1:9" hidden="1">
      <c r="A173" s="9" t="s">
        <v>193</v>
      </c>
      <c r="B173" s="7" t="str">
        <f>VLOOKUP(Table2[[#This Row],[CaseNumber]],WH_Data[Case Number],1,FALSE)</f>
        <v>18177875</v>
      </c>
      <c r="C173" t="s">
        <v>14</v>
      </c>
      <c r="D173" s="3">
        <v>45876.404398148145</v>
      </c>
      <c r="E173" s="4">
        <v>0</v>
      </c>
      <c r="G173" t="s">
        <v>10</v>
      </c>
      <c r="H173" t="s">
        <v>15</v>
      </c>
      <c r="I173" t="s">
        <v>30</v>
      </c>
    </row>
    <row r="174" spans="1:9" hidden="1">
      <c r="A174" s="9" t="s">
        <v>194</v>
      </c>
      <c r="B174" s="7" t="str">
        <f>VLOOKUP(Table2[[#This Row],[CaseNumber]],WH_Data[Case Number],1,FALSE)</f>
        <v>18183403</v>
      </c>
      <c r="C174" t="s">
        <v>29</v>
      </c>
      <c r="D174" s="3">
        <v>45791.570196759261</v>
      </c>
      <c r="E174" s="4">
        <v>1</v>
      </c>
      <c r="G174" t="s">
        <v>10</v>
      </c>
      <c r="H174" t="s">
        <v>17</v>
      </c>
      <c r="I174" t="s">
        <v>30</v>
      </c>
    </row>
    <row r="175" spans="1:9" hidden="1">
      <c r="A175" s="9" t="s">
        <v>195</v>
      </c>
      <c r="B175" s="7" t="str">
        <f>VLOOKUP(Table2[[#This Row],[CaseNumber]],WH_Data[Case Number],1,FALSE)</f>
        <v>18183421</v>
      </c>
      <c r="C175" t="s">
        <v>21</v>
      </c>
      <c r="D175" s="3">
        <v>45791.570057870369</v>
      </c>
      <c r="E175" s="4">
        <v>1</v>
      </c>
      <c r="G175" t="s">
        <v>10</v>
      </c>
      <c r="H175" t="s">
        <v>17</v>
      </c>
      <c r="I175" t="s">
        <v>30</v>
      </c>
    </row>
    <row r="176" spans="1:9" hidden="1">
      <c r="A176" s="9" t="s">
        <v>196</v>
      </c>
      <c r="B176" s="7" t="str">
        <f>VLOOKUP(Table2[[#This Row],[CaseNumber]],WH_Data[Case Number],1,FALSE)</f>
        <v>18183440</v>
      </c>
      <c r="C176" t="s">
        <v>21</v>
      </c>
      <c r="D176" s="3">
        <v>45791.570138888892</v>
      </c>
      <c r="E176" s="4">
        <v>1</v>
      </c>
      <c r="G176" t="s">
        <v>10</v>
      </c>
      <c r="H176" t="s">
        <v>17</v>
      </c>
      <c r="I176" t="s">
        <v>30</v>
      </c>
    </row>
    <row r="177" spans="1:9" hidden="1">
      <c r="A177" s="9" t="s">
        <v>197</v>
      </c>
      <c r="B177" s="7" t="str">
        <f>VLOOKUP(Table2[[#This Row],[CaseNumber]],WH_Data[Case Number],1,FALSE)</f>
        <v>18183511</v>
      </c>
      <c r="C177" t="s">
        <v>29</v>
      </c>
      <c r="D177" s="3">
        <v>45791.570092592592</v>
      </c>
      <c r="E177" s="4">
        <v>1</v>
      </c>
      <c r="G177" t="s">
        <v>10</v>
      </c>
      <c r="H177" t="s">
        <v>17</v>
      </c>
      <c r="I177" t="s">
        <v>30</v>
      </c>
    </row>
    <row r="178" spans="1:9" hidden="1">
      <c r="A178" s="9" t="s">
        <v>198</v>
      </c>
      <c r="B178" s="7" t="str">
        <f>VLOOKUP(Table2[[#This Row],[CaseNumber]],WH_Data[Case Number],1,FALSE)</f>
        <v>18183609</v>
      </c>
      <c r="C178" t="s">
        <v>21</v>
      </c>
      <c r="D178" s="3">
        <v>45791.570532407408</v>
      </c>
      <c r="E178" s="4">
        <v>1</v>
      </c>
      <c r="G178" t="s">
        <v>10</v>
      </c>
      <c r="H178" t="s">
        <v>17</v>
      </c>
      <c r="I178" t="s">
        <v>30</v>
      </c>
    </row>
    <row r="179" spans="1:9" hidden="1">
      <c r="A179" s="9" t="s">
        <v>199</v>
      </c>
      <c r="B179" s="7" t="str">
        <f>VLOOKUP(Table2[[#This Row],[CaseNumber]],WH_Data[Case Number],1,FALSE)</f>
        <v>18183642</v>
      </c>
      <c r="C179" t="s">
        <v>29</v>
      </c>
      <c r="D179" s="3">
        <v>45791.570254629631</v>
      </c>
      <c r="E179" s="4">
        <v>1</v>
      </c>
      <c r="G179" t="s">
        <v>10</v>
      </c>
      <c r="H179" t="s">
        <v>17</v>
      </c>
      <c r="I179" t="s">
        <v>30</v>
      </c>
    </row>
    <row r="180" spans="1:9" hidden="1">
      <c r="A180" s="9" t="s">
        <v>200</v>
      </c>
      <c r="B180" s="7" t="str">
        <f>VLOOKUP(Table2[[#This Row],[CaseNumber]],WH_Data[Case Number],1,FALSE)</f>
        <v>18183660</v>
      </c>
      <c r="C180" t="s">
        <v>29</v>
      </c>
      <c r="D180" s="3">
        <v>45791.570300925923</v>
      </c>
      <c r="E180" s="4">
        <v>1</v>
      </c>
      <c r="G180" t="s">
        <v>10</v>
      </c>
      <c r="H180" t="s">
        <v>17</v>
      </c>
      <c r="I180" t="s">
        <v>30</v>
      </c>
    </row>
    <row r="181" spans="1:9" hidden="1">
      <c r="A181" s="9" t="s">
        <v>201</v>
      </c>
      <c r="B181" s="7" t="str">
        <f>VLOOKUP(Table2[[#This Row],[CaseNumber]],WH_Data[Case Number],1,FALSE)</f>
        <v>18183678</v>
      </c>
      <c r="C181" t="s">
        <v>21</v>
      </c>
      <c r="D181" s="3">
        <v>45791.5705787037</v>
      </c>
      <c r="E181" s="4">
        <v>1</v>
      </c>
      <c r="G181" t="s">
        <v>10</v>
      </c>
      <c r="H181" t="s">
        <v>17</v>
      </c>
      <c r="I181" t="s">
        <v>30</v>
      </c>
    </row>
    <row r="182" spans="1:9" hidden="1">
      <c r="A182" s="9" t="s">
        <v>202</v>
      </c>
      <c r="B182" s="7" t="str">
        <f>VLOOKUP(Table2[[#This Row],[CaseNumber]],WH_Data[Case Number],1,FALSE)</f>
        <v>18183899</v>
      </c>
      <c r="C182" t="s">
        <v>21</v>
      </c>
      <c r="D182" s="3">
        <v>45853.610243055555</v>
      </c>
      <c r="E182" s="4">
        <v>1</v>
      </c>
      <c r="G182" t="s">
        <v>10</v>
      </c>
      <c r="H182" t="s">
        <v>11</v>
      </c>
      <c r="I182" t="s">
        <v>30</v>
      </c>
    </row>
    <row r="183" spans="1:9" hidden="1">
      <c r="A183" s="9" t="s">
        <v>203</v>
      </c>
      <c r="B183" s="7" t="str">
        <f>VLOOKUP(Table2[[#This Row],[CaseNumber]],WH_Data[Case Number],1,FALSE)</f>
        <v>18185605</v>
      </c>
      <c r="C183" t="s">
        <v>9</v>
      </c>
      <c r="D183" s="3">
        <v>45803.55097222222</v>
      </c>
      <c r="E183" s="4">
        <v>1</v>
      </c>
      <c r="G183" t="s">
        <v>10</v>
      </c>
      <c r="H183" t="s">
        <v>19</v>
      </c>
      <c r="I183" t="s">
        <v>30</v>
      </c>
    </row>
    <row r="184" spans="1:9" hidden="1">
      <c r="A184" s="9" t="s">
        <v>204</v>
      </c>
      <c r="B184" s="7" t="str">
        <f>VLOOKUP(Table2[[#This Row],[CaseNumber]],WH_Data[Case Number],1,FALSE)</f>
        <v>18186032</v>
      </c>
      <c r="C184" t="s">
        <v>9</v>
      </c>
      <c r="D184" s="3">
        <v>45791.485011574077</v>
      </c>
      <c r="E184" s="4">
        <v>1</v>
      </c>
      <c r="G184" t="s">
        <v>10</v>
      </c>
      <c r="H184" t="s">
        <v>19</v>
      </c>
      <c r="I184" t="s">
        <v>30</v>
      </c>
    </row>
    <row r="185" spans="1:9" hidden="1">
      <c r="A185" s="9" t="s">
        <v>205</v>
      </c>
      <c r="B185" s="7" t="str">
        <f>VLOOKUP(Table2[[#This Row],[CaseNumber]],WH_Data[Case Number],1,FALSE)</f>
        <v>18193979</v>
      </c>
      <c r="C185" t="s">
        <v>21</v>
      </c>
      <c r="D185" s="3">
        <v>45798.319664351853</v>
      </c>
      <c r="E185" s="4">
        <v>1</v>
      </c>
      <c r="G185" t="s">
        <v>10</v>
      </c>
      <c r="H185" t="s">
        <v>19</v>
      </c>
      <c r="I185" t="s">
        <v>30</v>
      </c>
    </row>
    <row r="186" spans="1:9" hidden="1">
      <c r="A186" s="9" t="s">
        <v>206</v>
      </c>
      <c r="B186" s="7" t="str">
        <f>VLOOKUP(Table2[[#This Row],[CaseNumber]],WH_Data[Case Number],1,FALSE)</f>
        <v>18213252</v>
      </c>
      <c r="C186" t="s">
        <v>9</v>
      </c>
      <c r="D186" s="3">
        <v>45840.270856481482</v>
      </c>
      <c r="E186" s="4">
        <v>1</v>
      </c>
      <c r="G186" t="s">
        <v>10</v>
      </c>
      <c r="H186" t="s">
        <v>19</v>
      </c>
      <c r="I186" t="s">
        <v>30</v>
      </c>
    </row>
    <row r="187" spans="1:9" hidden="1">
      <c r="A187" s="9" t="s">
        <v>207</v>
      </c>
      <c r="B187" s="7" t="str">
        <f>VLOOKUP(Table2[[#This Row],[CaseNumber]],WH_Data[Case Number],1,FALSE)</f>
        <v>18217096</v>
      </c>
      <c r="C187" t="s">
        <v>9</v>
      </c>
      <c r="D187" s="3">
        <v>45799.292743055557</v>
      </c>
      <c r="E187" s="4">
        <v>1</v>
      </c>
      <c r="G187" t="s">
        <v>10</v>
      </c>
      <c r="H187" t="s">
        <v>11</v>
      </c>
      <c r="I187" t="s">
        <v>30</v>
      </c>
    </row>
    <row r="188" spans="1:9" hidden="1">
      <c r="A188" s="9" t="s">
        <v>208</v>
      </c>
      <c r="B188" s="7" t="str">
        <f>VLOOKUP(Table2[[#This Row],[CaseNumber]],WH_Data[Case Number],1,FALSE)</f>
        <v>18217234</v>
      </c>
      <c r="C188" t="s">
        <v>9</v>
      </c>
      <c r="D188" s="3">
        <v>45958.552129629628</v>
      </c>
      <c r="E188" s="4">
        <v>1</v>
      </c>
      <c r="G188" t="s">
        <v>10</v>
      </c>
      <c r="H188" t="s">
        <v>44</v>
      </c>
      <c r="I188" t="s">
        <v>30</v>
      </c>
    </row>
    <row r="189" spans="1:9" hidden="1">
      <c r="A189" s="9" t="s">
        <v>209</v>
      </c>
      <c r="B189" s="7" t="str">
        <f>VLOOKUP(Table2[[#This Row],[CaseNumber]],WH_Data[Case Number],1,FALSE)</f>
        <v>18220090</v>
      </c>
      <c r="C189" t="s">
        <v>23</v>
      </c>
      <c r="D189" s="3">
        <v>45778.340405092589</v>
      </c>
      <c r="E189" s="4">
        <v>1</v>
      </c>
      <c r="G189" t="s">
        <v>10</v>
      </c>
      <c r="H189" t="s">
        <v>11</v>
      </c>
      <c r="I189" t="s">
        <v>30</v>
      </c>
    </row>
    <row r="190" spans="1:9" hidden="1">
      <c r="A190" s="9" t="s">
        <v>210</v>
      </c>
      <c r="B190" s="7" t="str">
        <f>VLOOKUP(Table2[[#This Row],[CaseNumber]],WH_Data[Case Number],1,FALSE)</f>
        <v>18221636</v>
      </c>
      <c r="C190" t="s">
        <v>21</v>
      </c>
      <c r="D190" s="3">
        <v>45817.713599537034</v>
      </c>
      <c r="E190" s="4">
        <v>0</v>
      </c>
      <c r="G190" t="s">
        <v>10</v>
      </c>
      <c r="H190" t="s">
        <v>11</v>
      </c>
      <c r="I190" t="s">
        <v>30</v>
      </c>
    </row>
    <row r="191" spans="1:9" hidden="1">
      <c r="A191" s="9" t="s">
        <v>211</v>
      </c>
      <c r="B191" s="7" t="str">
        <f>VLOOKUP(Table2[[#This Row],[CaseNumber]],WH_Data[Case Number],1,FALSE)</f>
        <v>18234524</v>
      </c>
      <c r="C191" t="s">
        <v>14</v>
      </c>
      <c r="D191" s="3">
        <v>45887.268807870372</v>
      </c>
      <c r="E191" s="4">
        <v>0</v>
      </c>
      <c r="G191" t="s">
        <v>10</v>
      </c>
      <c r="H191" t="s">
        <v>15</v>
      </c>
      <c r="I191" t="s">
        <v>30</v>
      </c>
    </row>
    <row r="192" spans="1:9" hidden="1">
      <c r="A192" s="9" t="s">
        <v>212</v>
      </c>
      <c r="B192" s="7" t="str">
        <f>VLOOKUP(Table2[[#This Row],[CaseNumber]],WH_Data[Case Number],1,FALSE)</f>
        <v>18239196</v>
      </c>
      <c r="C192" t="s">
        <v>9</v>
      </c>
      <c r="D192" s="3">
        <v>45799.254710648151</v>
      </c>
      <c r="E192" s="4">
        <v>1</v>
      </c>
      <c r="G192" t="s">
        <v>10</v>
      </c>
      <c r="H192" t="s">
        <v>11</v>
      </c>
      <c r="I192" t="s">
        <v>30</v>
      </c>
    </row>
    <row r="193" spans="1:9" hidden="1">
      <c r="A193" s="9" t="s">
        <v>213</v>
      </c>
      <c r="B193" s="7" t="str">
        <f>VLOOKUP(Table2[[#This Row],[CaseNumber]],WH_Data[Case Number],1,FALSE)</f>
        <v>18245511</v>
      </c>
      <c r="C193" t="s">
        <v>14</v>
      </c>
      <c r="D193" s="3">
        <v>45870.511203703703</v>
      </c>
      <c r="E193" s="4">
        <v>1</v>
      </c>
      <c r="G193" t="s">
        <v>10</v>
      </c>
      <c r="H193" t="s">
        <v>11</v>
      </c>
      <c r="I193" t="s">
        <v>30</v>
      </c>
    </row>
    <row r="194" spans="1:9" hidden="1">
      <c r="A194" s="9" t="s">
        <v>214</v>
      </c>
      <c r="B194" s="7" t="str">
        <f>VLOOKUP(Table2[[#This Row],[CaseNumber]],WH_Data[Case Number],1,FALSE)</f>
        <v>18245601</v>
      </c>
      <c r="C194" t="s">
        <v>9</v>
      </c>
      <c r="D194" s="3">
        <v>45846.312627314815</v>
      </c>
      <c r="E194" s="4">
        <v>1</v>
      </c>
      <c r="G194" t="s">
        <v>10</v>
      </c>
      <c r="H194" t="s">
        <v>11</v>
      </c>
      <c r="I194" t="s">
        <v>30</v>
      </c>
    </row>
    <row r="195" spans="1:9" hidden="1">
      <c r="A195" s="9" t="s">
        <v>215</v>
      </c>
      <c r="B195" s="7" t="str">
        <f>VLOOKUP(Table2[[#This Row],[CaseNumber]],WH_Data[Case Number],1,FALSE)</f>
        <v>18245868</v>
      </c>
      <c r="C195" t="s">
        <v>9</v>
      </c>
      <c r="D195" s="3">
        <v>45846.634305555555</v>
      </c>
      <c r="E195" s="4">
        <v>1</v>
      </c>
      <c r="G195" t="s">
        <v>10</v>
      </c>
      <c r="H195" t="s">
        <v>11</v>
      </c>
      <c r="I195" t="s">
        <v>30</v>
      </c>
    </row>
    <row r="196" spans="1:9" hidden="1">
      <c r="A196" s="9" t="s">
        <v>216</v>
      </c>
      <c r="B196" s="7" t="str">
        <f>VLOOKUP(Table2[[#This Row],[CaseNumber]],WH_Data[Case Number],1,FALSE)</f>
        <v>18249352</v>
      </c>
      <c r="C196" t="s">
        <v>14</v>
      </c>
      <c r="D196" s="3">
        <v>45860.31890046296</v>
      </c>
      <c r="E196" s="4">
        <v>1</v>
      </c>
      <c r="G196" t="s">
        <v>10</v>
      </c>
      <c r="H196" t="s">
        <v>44</v>
      </c>
      <c r="I196" t="s">
        <v>30</v>
      </c>
    </row>
    <row r="197" spans="1:9" hidden="1">
      <c r="A197" s="9" t="s">
        <v>217</v>
      </c>
      <c r="B197" s="7" t="str">
        <f>VLOOKUP(Table2[[#This Row],[CaseNumber]],WH_Data[Case Number],1,FALSE)</f>
        <v>18250506</v>
      </c>
      <c r="C197" t="s">
        <v>29</v>
      </c>
      <c r="D197" s="3">
        <v>45912.920567129629</v>
      </c>
      <c r="E197" s="4">
        <v>0</v>
      </c>
      <c r="G197" t="s">
        <v>10</v>
      </c>
      <c r="H197" t="s">
        <v>19</v>
      </c>
      <c r="I197" t="s">
        <v>30</v>
      </c>
    </row>
    <row r="198" spans="1:9" hidden="1">
      <c r="A198" s="9" t="s">
        <v>218</v>
      </c>
      <c r="B198" s="7" t="str">
        <f>VLOOKUP(Table2[[#This Row],[CaseNumber]],WH_Data[Case Number],1,FALSE)</f>
        <v>18262473</v>
      </c>
      <c r="C198" t="s">
        <v>21</v>
      </c>
      <c r="D198" s="3">
        <v>45789.555358796293</v>
      </c>
      <c r="E198" s="4">
        <v>1</v>
      </c>
      <c r="G198" t="s">
        <v>10</v>
      </c>
      <c r="H198" t="s">
        <v>11</v>
      </c>
      <c r="I198" t="s">
        <v>30</v>
      </c>
    </row>
    <row r="199" spans="1:9" hidden="1">
      <c r="A199" s="9" t="s">
        <v>219</v>
      </c>
      <c r="B199" s="7" t="str">
        <f>VLOOKUP(Table2[[#This Row],[CaseNumber]],WH_Data[Case Number],1,FALSE)</f>
        <v>18263590</v>
      </c>
      <c r="C199" t="s">
        <v>23</v>
      </c>
      <c r="D199" s="3">
        <v>45853.651423611111</v>
      </c>
      <c r="E199" s="4">
        <v>0</v>
      </c>
      <c r="G199" t="s">
        <v>10</v>
      </c>
      <c r="H199" t="s">
        <v>11</v>
      </c>
      <c r="I199" t="s">
        <v>30</v>
      </c>
    </row>
    <row r="200" spans="1:9" hidden="1">
      <c r="A200" s="9" t="s">
        <v>220</v>
      </c>
      <c r="B200" s="7" t="str">
        <f>VLOOKUP(Table2[[#This Row],[CaseNumber]],WH_Data[Case Number],1,FALSE)</f>
        <v>18263725</v>
      </c>
      <c r="C200" t="s">
        <v>29</v>
      </c>
      <c r="D200" s="3">
        <v>45804.327118055553</v>
      </c>
      <c r="E200" s="4">
        <v>1</v>
      </c>
      <c r="G200" t="s">
        <v>10</v>
      </c>
      <c r="H200" t="s">
        <v>11</v>
      </c>
      <c r="I200" t="s">
        <v>30</v>
      </c>
    </row>
    <row r="201" spans="1:9" hidden="1">
      <c r="A201" s="9" t="s">
        <v>221</v>
      </c>
      <c r="B201" s="7" t="str">
        <f>VLOOKUP(Table2[[#This Row],[CaseNumber]],WH_Data[Case Number],1,FALSE)</f>
        <v>18273249</v>
      </c>
      <c r="C201" t="s">
        <v>14</v>
      </c>
      <c r="D201" s="3">
        <v>45909.670243055552</v>
      </c>
      <c r="E201" s="4">
        <v>1</v>
      </c>
      <c r="G201" t="s">
        <v>10</v>
      </c>
      <c r="H201" t="s">
        <v>11</v>
      </c>
      <c r="I201" t="s">
        <v>30</v>
      </c>
    </row>
    <row r="202" spans="1:9" hidden="1">
      <c r="A202" s="9" t="s">
        <v>222</v>
      </c>
      <c r="B202" s="7" t="str">
        <f>VLOOKUP(Table2[[#This Row],[CaseNumber]],WH_Data[Case Number],1,FALSE)</f>
        <v>18275724</v>
      </c>
      <c r="C202" t="s">
        <v>14</v>
      </c>
      <c r="D202" s="3">
        <v>45849.747650462959</v>
      </c>
      <c r="E202" s="4">
        <v>0</v>
      </c>
      <c r="G202" t="s">
        <v>10</v>
      </c>
      <c r="H202" t="s">
        <v>11</v>
      </c>
      <c r="I202" t="s">
        <v>30</v>
      </c>
    </row>
    <row r="203" spans="1:9" hidden="1">
      <c r="A203" s="9" t="s">
        <v>223</v>
      </c>
      <c r="B203" s="7" t="str">
        <f>VLOOKUP(Table2[[#This Row],[CaseNumber]],WH_Data[Case Number],1,FALSE)</f>
        <v>18279133</v>
      </c>
      <c r="C203" t="s">
        <v>23</v>
      </c>
      <c r="D203" s="3">
        <v>45939.650393518517</v>
      </c>
      <c r="E203" s="4">
        <v>1</v>
      </c>
      <c r="G203" t="s">
        <v>10</v>
      </c>
      <c r="H203" t="s">
        <v>17</v>
      </c>
      <c r="I203" t="s">
        <v>30</v>
      </c>
    </row>
    <row r="204" spans="1:9" hidden="1">
      <c r="A204" s="9" t="s">
        <v>224</v>
      </c>
      <c r="B204" s="7" t="str">
        <f>VLOOKUP(Table2[[#This Row],[CaseNumber]],WH_Data[Case Number],1,FALSE)</f>
        <v>18289477</v>
      </c>
      <c r="C204" t="s">
        <v>14</v>
      </c>
      <c r="D204" s="3">
        <v>45846.297708333332</v>
      </c>
      <c r="E204" s="4">
        <v>1</v>
      </c>
      <c r="G204" t="s">
        <v>10</v>
      </c>
      <c r="H204" t="s">
        <v>17</v>
      </c>
      <c r="I204" t="s">
        <v>30</v>
      </c>
    </row>
    <row r="205" spans="1:9" hidden="1">
      <c r="A205" s="9" t="s">
        <v>225</v>
      </c>
      <c r="B205" s="7" t="str">
        <f>VLOOKUP(Table2[[#This Row],[CaseNumber]],WH_Data[Case Number],1,FALSE)</f>
        <v>18289541</v>
      </c>
      <c r="C205" t="s">
        <v>14</v>
      </c>
      <c r="D205" s="3">
        <v>45840.805775462963</v>
      </c>
      <c r="E205" s="4">
        <v>1</v>
      </c>
      <c r="G205" t="s">
        <v>10</v>
      </c>
      <c r="H205" t="s">
        <v>17</v>
      </c>
      <c r="I205" t="s">
        <v>30</v>
      </c>
    </row>
    <row r="206" spans="1:9" hidden="1">
      <c r="A206" s="9" t="s">
        <v>226</v>
      </c>
      <c r="B206" s="7" t="str">
        <f>VLOOKUP(Table2[[#This Row],[CaseNumber]],WH_Data[Case Number],1,FALSE)</f>
        <v>18296106</v>
      </c>
      <c r="C206" t="s">
        <v>9</v>
      </c>
      <c r="D206" s="3">
        <v>45884.708460648151</v>
      </c>
      <c r="E206" s="4">
        <v>1</v>
      </c>
      <c r="G206" t="s">
        <v>10</v>
      </c>
      <c r="H206" t="s">
        <v>11</v>
      </c>
      <c r="I206" t="s">
        <v>30</v>
      </c>
    </row>
    <row r="207" spans="1:9" hidden="1">
      <c r="A207" s="9" t="s">
        <v>227</v>
      </c>
      <c r="B207" s="7" t="str">
        <f>VLOOKUP(Table2[[#This Row],[CaseNumber]],WH_Data[Case Number],1,FALSE)</f>
        <v>18297246</v>
      </c>
      <c r="C207" t="s">
        <v>14</v>
      </c>
      <c r="D207" s="3">
        <v>45863.56449074074</v>
      </c>
      <c r="E207" s="4">
        <v>1</v>
      </c>
      <c r="G207" t="s">
        <v>10</v>
      </c>
      <c r="H207" t="s">
        <v>11</v>
      </c>
      <c r="I207" t="s">
        <v>30</v>
      </c>
    </row>
    <row r="208" spans="1:9" hidden="1">
      <c r="A208" s="9" t="s">
        <v>228</v>
      </c>
      <c r="B208" s="7" t="str">
        <f>VLOOKUP(Table2[[#This Row],[CaseNumber]],WH_Data[Case Number],1,FALSE)</f>
        <v>18298746</v>
      </c>
      <c r="C208" t="s">
        <v>14</v>
      </c>
      <c r="D208" s="3">
        <v>45835.332071759258</v>
      </c>
      <c r="E208" s="4">
        <v>1</v>
      </c>
      <c r="G208" t="s">
        <v>10</v>
      </c>
      <c r="H208" t="s">
        <v>17</v>
      </c>
      <c r="I208" t="s">
        <v>30</v>
      </c>
    </row>
    <row r="209" spans="1:9" hidden="1">
      <c r="A209" s="9" t="s">
        <v>229</v>
      </c>
      <c r="B209" s="7" t="str">
        <f>VLOOKUP(Table2[[#This Row],[CaseNumber]],WH_Data[Case Number],1,FALSE)</f>
        <v>18304799</v>
      </c>
      <c r="C209" t="s">
        <v>9</v>
      </c>
      <c r="D209" s="3">
        <v>45859.463599537034</v>
      </c>
      <c r="E209" s="4">
        <v>1</v>
      </c>
      <c r="G209" t="s">
        <v>10</v>
      </c>
      <c r="H209" t="s">
        <v>19</v>
      </c>
      <c r="I209" t="s">
        <v>30</v>
      </c>
    </row>
    <row r="210" spans="1:9" hidden="1">
      <c r="A210" s="9" t="s">
        <v>230</v>
      </c>
      <c r="B210" s="7" t="str">
        <f>VLOOKUP(Table2[[#This Row],[CaseNumber]],WH_Data[Case Number],1,FALSE)</f>
        <v>18304822</v>
      </c>
      <c r="C210" t="s">
        <v>9</v>
      </c>
      <c r="D210" s="3">
        <v>45842.815069444441</v>
      </c>
      <c r="E210" s="4">
        <v>0</v>
      </c>
      <c r="G210" t="s">
        <v>10</v>
      </c>
      <c r="H210" t="s">
        <v>19</v>
      </c>
      <c r="I210" t="s">
        <v>30</v>
      </c>
    </row>
    <row r="211" spans="1:9" hidden="1">
      <c r="A211" s="9" t="s">
        <v>231</v>
      </c>
      <c r="B211" s="7" t="str">
        <f>VLOOKUP(Table2[[#This Row],[CaseNumber]],WH_Data[Case Number],1,FALSE)</f>
        <v>18304852</v>
      </c>
      <c r="C211" t="s">
        <v>9</v>
      </c>
      <c r="D211" s="3">
        <v>45863.464004629626</v>
      </c>
      <c r="E211" s="4">
        <v>1</v>
      </c>
      <c r="G211" t="s">
        <v>10</v>
      </c>
      <c r="H211" t="s">
        <v>19</v>
      </c>
      <c r="I211" t="s">
        <v>30</v>
      </c>
    </row>
    <row r="212" spans="1:9" hidden="1">
      <c r="A212" s="9" t="s">
        <v>232</v>
      </c>
      <c r="B212" s="7" t="str">
        <f>VLOOKUP(Table2[[#This Row],[CaseNumber]],WH_Data[Case Number],1,FALSE)</f>
        <v>18304860</v>
      </c>
      <c r="C212" t="s">
        <v>29</v>
      </c>
      <c r="D212" s="3">
        <v>45861.420868055553</v>
      </c>
      <c r="E212" s="4">
        <v>1</v>
      </c>
      <c r="G212" t="s">
        <v>10</v>
      </c>
      <c r="H212" t="s">
        <v>19</v>
      </c>
      <c r="I212" t="s">
        <v>30</v>
      </c>
    </row>
    <row r="213" spans="1:9" hidden="1">
      <c r="A213" s="9" t="s">
        <v>233</v>
      </c>
      <c r="B213" s="7" t="str">
        <f>VLOOKUP(Table2[[#This Row],[CaseNumber]],WH_Data[Case Number],1,FALSE)</f>
        <v>18304864</v>
      </c>
      <c r="C213" t="s">
        <v>9</v>
      </c>
      <c r="D213" s="3">
        <v>45862.428472222222</v>
      </c>
      <c r="E213" s="4">
        <v>1</v>
      </c>
      <c r="G213" t="s">
        <v>10</v>
      </c>
      <c r="H213" t="s">
        <v>19</v>
      </c>
      <c r="I213" t="s">
        <v>30</v>
      </c>
    </row>
    <row r="214" spans="1:9" hidden="1">
      <c r="A214" s="9" t="s">
        <v>234</v>
      </c>
      <c r="B214" s="7" t="str">
        <f>VLOOKUP(Table2[[#This Row],[CaseNumber]],WH_Data[Case Number],1,FALSE)</f>
        <v>18304869</v>
      </c>
      <c r="C214" t="s">
        <v>9</v>
      </c>
      <c r="D214" s="3">
        <v>45861.42083333333</v>
      </c>
      <c r="E214" s="4">
        <v>1</v>
      </c>
      <c r="G214" t="s">
        <v>10</v>
      </c>
      <c r="H214" t="s">
        <v>19</v>
      </c>
      <c r="I214" t="s">
        <v>30</v>
      </c>
    </row>
    <row r="215" spans="1:9" hidden="1">
      <c r="A215" s="9" t="s">
        <v>235</v>
      </c>
      <c r="B215" s="7" t="str">
        <f>VLOOKUP(Table2[[#This Row],[CaseNumber]],WH_Data[Case Number],1,FALSE)</f>
        <v>18304873</v>
      </c>
      <c r="C215" t="s">
        <v>9</v>
      </c>
      <c r="D215" s="3">
        <v>45842.818136574075</v>
      </c>
      <c r="E215" s="4">
        <v>0</v>
      </c>
      <c r="G215" t="s">
        <v>10</v>
      </c>
      <c r="H215" t="s">
        <v>19</v>
      </c>
      <c r="I215" t="s">
        <v>30</v>
      </c>
    </row>
    <row r="216" spans="1:9" hidden="1">
      <c r="A216" s="9" t="s">
        <v>236</v>
      </c>
      <c r="B216" s="7" t="str">
        <f>VLOOKUP(Table2[[#This Row],[CaseNumber]],WH_Data[Case Number],1,FALSE)</f>
        <v>18310494</v>
      </c>
      <c r="C216" t="s">
        <v>21</v>
      </c>
      <c r="D216" s="3">
        <v>45840.351550925923</v>
      </c>
      <c r="E216" s="4">
        <v>1</v>
      </c>
      <c r="G216" t="s">
        <v>10</v>
      </c>
      <c r="H216" t="s">
        <v>46</v>
      </c>
      <c r="I216" t="s">
        <v>30</v>
      </c>
    </row>
    <row r="217" spans="1:9" hidden="1">
      <c r="A217" s="9" t="s">
        <v>237</v>
      </c>
      <c r="B217" s="7" t="str">
        <f>VLOOKUP(Table2[[#This Row],[CaseNumber]],WH_Data[Case Number],1,FALSE)</f>
        <v>18312713</v>
      </c>
      <c r="C217" t="s">
        <v>9</v>
      </c>
      <c r="D217" s="3">
        <v>45876.588750000003</v>
      </c>
      <c r="E217" s="4">
        <v>1</v>
      </c>
      <c r="G217" t="s">
        <v>10</v>
      </c>
      <c r="H217" t="s">
        <v>11</v>
      </c>
      <c r="I217" t="s">
        <v>30</v>
      </c>
    </row>
    <row r="218" spans="1:9" hidden="1">
      <c r="A218" s="9" t="s">
        <v>238</v>
      </c>
      <c r="B218" s="7" t="str">
        <f>VLOOKUP(Table2[[#This Row],[CaseNumber]],WH_Data[Case Number],1,FALSE)</f>
        <v>18313255</v>
      </c>
      <c r="C218" t="s">
        <v>9</v>
      </c>
      <c r="D218" s="3">
        <v>45870.527928240743</v>
      </c>
      <c r="E218" s="4">
        <v>1</v>
      </c>
      <c r="G218" t="s">
        <v>10</v>
      </c>
      <c r="H218" t="s">
        <v>11</v>
      </c>
      <c r="I218" t="s">
        <v>30</v>
      </c>
    </row>
    <row r="219" spans="1:9" hidden="1">
      <c r="A219" s="9" t="s">
        <v>239</v>
      </c>
      <c r="B219" s="7" t="str">
        <f>VLOOKUP(Table2[[#This Row],[CaseNumber]],WH_Data[Case Number],1,FALSE)</f>
        <v>18325470</v>
      </c>
      <c r="C219" t="s">
        <v>23</v>
      </c>
      <c r="D219" s="3">
        <v>45812.499618055554</v>
      </c>
      <c r="E219" s="4">
        <v>1</v>
      </c>
      <c r="G219" t="s">
        <v>10</v>
      </c>
      <c r="H219" t="s">
        <v>19</v>
      </c>
      <c r="I219" t="s">
        <v>30</v>
      </c>
    </row>
    <row r="220" spans="1:9" hidden="1">
      <c r="A220" s="9" t="s">
        <v>240</v>
      </c>
      <c r="B220" s="7" t="str">
        <f>VLOOKUP(Table2[[#This Row],[CaseNumber]],WH_Data[Case Number],1,FALSE)</f>
        <v>18328798</v>
      </c>
      <c r="C220" t="s">
        <v>14</v>
      </c>
      <c r="D220" s="3">
        <v>45908.442453703705</v>
      </c>
      <c r="E220" s="4">
        <v>0</v>
      </c>
      <c r="G220" t="s">
        <v>10</v>
      </c>
      <c r="H220" t="s">
        <v>15</v>
      </c>
      <c r="I220" t="s">
        <v>30</v>
      </c>
    </row>
    <row r="221" spans="1:9" hidden="1">
      <c r="A221" s="9" t="s">
        <v>241</v>
      </c>
      <c r="B221" s="7" t="str">
        <f>VLOOKUP(Table2[[#This Row],[CaseNumber]],WH_Data[Case Number],1,FALSE)</f>
        <v>18331889</v>
      </c>
      <c r="C221" t="s">
        <v>29</v>
      </c>
      <c r="D221" s="3">
        <v>45840.36005787037</v>
      </c>
      <c r="E221" s="4">
        <v>1</v>
      </c>
      <c r="G221" t="s">
        <v>10</v>
      </c>
      <c r="H221" t="s">
        <v>19</v>
      </c>
      <c r="I221" t="s">
        <v>30</v>
      </c>
    </row>
    <row r="222" spans="1:9" hidden="1">
      <c r="A222" s="9" t="s">
        <v>242</v>
      </c>
      <c r="B222" s="7" t="str">
        <f>VLOOKUP(Table2[[#This Row],[CaseNumber]],WH_Data[Case Number],1,FALSE)</f>
        <v>18354576</v>
      </c>
      <c r="C222" t="s">
        <v>9</v>
      </c>
      <c r="D222" s="3">
        <v>45914.356759259259</v>
      </c>
      <c r="E222" s="4">
        <v>0</v>
      </c>
      <c r="G222" t="s">
        <v>10</v>
      </c>
      <c r="H222" t="s">
        <v>19</v>
      </c>
      <c r="I222" t="s">
        <v>30</v>
      </c>
    </row>
    <row r="223" spans="1:9" hidden="1">
      <c r="A223" s="9" t="s">
        <v>243</v>
      </c>
      <c r="B223" s="7" t="str">
        <f>VLOOKUP(Table2[[#This Row],[CaseNumber]],WH_Data[Case Number],1,FALSE)</f>
        <v>18359213</v>
      </c>
      <c r="C223" t="s">
        <v>29</v>
      </c>
      <c r="D223" s="3">
        <v>45839.809884259259</v>
      </c>
      <c r="E223" s="4">
        <v>1</v>
      </c>
      <c r="G223" t="s">
        <v>10</v>
      </c>
      <c r="H223" t="s">
        <v>17</v>
      </c>
      <c r="I223" t="s">
        <v>30</v>
      </c>
    </row>
    <row r="224" spans="1:9" hidden="1">
      <c r="A224" s="9" t="s">
        <v>244</v>
      </c>
      <c r="B224" s="7" t="str">
        <f>VLOOKUP(Table2[[#This Row],[CaseNumber]],WH_Data[Case Number],1,FALSE)</f>
        <v>18360036</v>
      </c>
      <c r="C224" t="s">
        <v>9</v>
      </c>
      <c r="D224" s="3">
        <v>45833.625474537039</v>
      </c>
      <c r="E224" s="4">
        <v>1</v>
      </c>
      <c r="G224" t="s">
        <v>10</v>
      </c>
      <c r="H224" t="s">
        <v>11</v>
      </c>
      <c r="I224" t="s">
        <v>30</v>
      </c>
    </row>
    <row r="225" spans="1:9" hidden="1">
      <c r="A225" s="9" t="s">
        <v>245</v>
      </c>
      <c r="B225" s="7" t="str">
        <f>VLOOKUP(Table2[[#This Row],[CaseNumber]],WH_Data[Case Number],1,FALSE)</f>
        <v>18360061</v>
      </c>
      <c r="C225" t="s">
        <v>9</v>
      </c>
      <c r="D225" s="3">
        <v>45931.567476851851</v>
      </c>
      <c r="E225" s="4">
        <v>1</v>
      </c>
      <c r="G225" t="s">
        <v>10</v>
      </c>
      <c r="H225" t="s">
        <v>44</v>
      </c>
      <c r="I225" t="s">
        <v>30</v>
      </c>
    </row>
    <row r="226" spans="1:9" hidden="1">
      <c r="A226" s="9" t="s">
        <v>246</v>
      </c>
      <c r="B226" s="7" t="str">
        <f>VLOOKUP(Table2[[#This Row],[CaseNumber]],WH_Data[Case Number],1,FALSE)</f>
        <v>18365453</v>
      </c>
      <c r="C226" t="s">
        <v>23</v>
      </c>
      <c r="D226" s="3">
        <v>45911.222361111111</v>
      </c>
      <c r="E226" s="4">
        <v>0</v>
      </c>
      <c r="G226" t="s">
        <v>10</v>
      </c>
      <c r="H226" t="s">
        <v>11</v>
      </c>
      <c r="I226" t="s">
        <v>30</v>
      </c>
    </row>
    <row r="227" spans="1:9" hidden="1">
      <c r="A227" s="9" t="s">
        <v>247</v>
      </c>
      <c r="B227" s="7" t="str">
        <f>VLOOKUP(Table2[[#This Row],[CaseNumber]],WH_Data[Case Number],1,FALSE)</f>
        <v>18371768</v>
      </c>
      <c r="C227" t="s">
        <v>29</v>
      </c>
      <c r="D227" s="3">
        <v>45813.243969907409</v>
      </c>
      <c r="E227" s="4">
        <v>1</v>
      </c>
      <c r="G227" t="s">
        <v>10</v>
      </c>
      <c r="H227" t="s">
        <v>17</v>
      </c>
      <c r="I227" t="s">
        <v>30</v>
      </c>
    </row>
    <row r="228" spans="1:9" hidden="1">
      <c r="A228" s="9" t="s">
        <v>248</v>
      </c>
      <c r="B228" s="7" t="str">
        <f>VLOOKUP(Table2[[#This Row],[CaseNumber]],WH_Data[Case Number],1,FALSE)</f>
        <v>18373835</v>
      </c>
      <c r="C228" t="s">
        <v>23</v>
      </c>
      <c r="D228" s="3">
        <v>45940.81082175926</v>
      </c>
      <c r="E228" s="4">
        <v>1</v>
      </c>
      <c r="G228" t="s">
        <v>10</v>
      </c>
      <c r="H228" t="s">
        <v>17</v>
      </c>
      <c r="I228" t="s">
        <v>30</v>
      </c>
    </row>
    <row r="229" spans="1:9" hidden="1">
      <c r="A229" s="9" t="s">
        <v>249</v>
      </c>
      <c r="B229" s="7" t="str">
        <f>VLOOKUP(Table2[[#This Row],[CaseNumber]],WH_Data[Case Number],1,FALSE)</f>
        <v>18376553</v>
      </c>
      <c r="C229" t="s">
        <v>9</v>
      </c>
      <c r="D229" s="3">
        <v>45819.517430555556</v>
      </c>
      <c r="E229" s="4">
        <v>1</v>
      </c>
      <c r="G229" t="s">
        <v>10</v>
      </c>
      <c r="H229" t="s">
        <v>19</v>
      </c>
      <c r="I229" t="s">
        <v>30</v>
      </c>
    </row>
    <row r="230" spans="1:9" hidden="1">
      <c r="A230" s="9" t="s">
        <v>250</v>
      </c>
      <c r="B230" s="7" t="str">
        <f>VLOOKUP(Table2[[#This Row],[CaseNumber]],WH_Data[Case Number],1,FALSE)</f>
        <v>18376719</v>
      </c>
      <c r="C230" t="s">
        <v>9</v>
      </c>
      <c r="D230" s="3">
        <v>45813.572534722225</v>
      </c>
      <c r="E230" s="4">
        <v>1</v>
      </c>
      <c r="G230" t="s">
        <v>10</v>
      </c>
      <c r="H230" t="s">
        <v>19</v>
      </c>
      <c r="I230" t="s">
        <v>30</v>
      </c>
    </row>
    <row r="231" spans="1:9" hidden="1">
      <c r="A231" s="9" t="s">
        <v>251</v>
      </c>
      <c r="B231" s="7" t="str">
        <f>VLOOKUP(Table2[[#This Row],[CaseNumber]],WH_Data[Case Number],1,FALSE)</f>
        <v>18377536</v>
      </c>
      <c r="C231" t="s">
        <v>21</v>
      </c>
      <c r="D231" s="3">
        <v>45831.864062499997</v>
      </c>
      <c r="E231" s="4">
        <v>1</v>
      </c>
      <c r="G231" t="s">
        <v>10</v>
      </c>
      <c r="H231" t="s">
        <v>11</v>
      </c>
      <c r="I231" t="s">
        <v>30</v>
      </c>
    </row>
    <row r="232" spans="1:9" hidden="1">
      <c r="A232" s="9" t="s">
        <v>252</v>
      </c>
      <c r="B232" s="7" t="str">
        <f>VLOOKUP(Table2[[#This Row],[CaseNumber]],WH_Data[Case Number],1,FALSE)</f>
        <v>18380496</v>
      </c>
      <c r="C232" t="s">
        <v>9</v>
      </c>
      <c r="D232" s="3">
        <v>45819.517569444448</v>
      </c>
      <c r="E232" s="4">
        <v>1</v>
      </c>
      <c r="G232" t="s">
        <v>10</v>
      </c>
      <c r="H232" t="s">
        <v>19</v>
      </c>
      <c r="I232" t="s">
        <v>30</v>
      </c>
    </row>
    <row r="233" spans="1:9" hidden="1">
      <c r="A233" s="9" t="s">
        <v>253</v>
      </c>
      <c r="B233" s="7" t="str">
        <f>VLOOKUP(Table2[[#This Row],[CaseNumber]],WH_Data[Case Number],1,FALSE)</f>
        <v>18385037</v>
      </c>
      <c r="C233" t="s">
        <v>21</v>
      </c>
      <c r="D233" s="3">
        <v>45831.231273148151</v>
      </c>
      <c r="E233" s="4">
        <v>1</v>
      </c>
      <c r="G233" t="s">
        <v>10</v>
      </c>
      <c r="H233" t="s">
        <v>11</v>
      </c>
      <c r="I233" t="s">
        <v>30</v>
      </c>
    </row>
    <row r="234" spans="1:9" hidden="1">
      <c r="A234" s="9" t="s">
        <v>254</v>
      </c>
      <c r="B234" s="7" t="str">
        <f>VLOOKUP(Table2[[#This Row],[CaseNumber]],WH_Data[Case Number],1,FALSE)</f>
        <v>18393296</v>
      </c>
      <c r="C234" t="s">
        <v>29</v>
      </c>
      <c r="D234" s="3">
        <v>45862.360868055555</v>
      </c>
      <c r="E234" s="4">
        <v>1</v>
      </c>
      <c r="G234" t="s">
        <v>10</v>
      </c>
      <c r="H234" t="s">
        <v>17</v>
      </c>
      <c r="I234" t="s">
        <v>30</v>
      </c>
    </row>
    <row r="235" spans="1:9" hidden="1">
      <c r="A235" s="9" t="s">
        <v>255</v>
      </c>
      <c r="B235" s="7" t="str">
        <f>VLOOKUP(Table2[[#This Row],[CaseNumber]],WH_Data[Case Number],1,FALSE)</f>
        <v>18395038</v>
      </c>
      <c r="C235" t="s">
        <v>21</v>
      </c>
      <c r="D235" s="3">
        <v>45916.416770833333</v>
      </c>
      <c r="E235" s="4">
        <v>1</v>
      </c>
      <c r="G235" t="s">
        <v>10</v>
      </c>
      <c r="H235" t="s">
        <v>11</v>
      </c>
      <c r="I235" t="s">
        <v>30</v>
      </c>
    </row>
    <row r="236" spans="1:9" hidden="1">
      <c r="A236" s="9" t="s">
        <v>256</v>
      </c>
      <c r="B236" s="7" t="str">
        <f>VLOOKUP(Table2[[#This Row],[CaseNumber]],WH_Data[Case Number],1,FALSE)</f>
        <v>18396906</v>
      </c>
      <c r="C236" t="s">
        <v>14</v>
      </c>
      <c r="D236" s="3">
        <v>45835.331921296296</v>
      </c>
      <c r="E236" s="4">
        <v>1</v>
      </c>
      <c r="G236" t="s">
        <v>10</v>
      </c>
      <c r="H236" t="s">
        <v>17</v>
      </c>
      <c r="I236" t="s">
        <v>30</v>
      </c>
    </row>
    <row r="237" spans="1:9" hidden="1">
      <c r="A237" s="9" t="s">
        <v>257</v>
      </c>
      <c r="B237" s="7" t="str">
        <f>VLOOKUP(Table2[[#This Row],[CaseNumber]],WH_Data[Case Number],1,FALSE)</f>
        <v>18396917</v>
      </c>
      <c r="C237" t="s">
        <v>14</v>
      </c>
      <c r="D237" s="3">
        <v>45842.369351851848</v>
      </c>
      <c r="E237" s="4">
        <v>1</v>
      </c>
      <c r="G237" t="s">
        <v>10</v>
      </c>
      <c r="H237" t="s">
        <v>17</v>
      </c>
      <c r="I237" t="s">
        <v>30</v>
      </c>
    </row>
    <row r="238" spans="1:9" hidden="1">
      <c r="A238" s="9" t="s">
        <v>258</v>
      </c>
      <c r="B238" s="7" t="str">
        <f>VLOOKUP(Table2[[#This Row],[CaseNumber]],WH_Data[Case Number],1,FALSE)</f>
        <v>18396925</v>
      </c>
      <c r="C238" t="s">
        <v>14</v>
      </c>
      <c r="D238" s="3">
        <v>45846.291388888887</v>
      </c>
      <c r="E238" s="4">
        <v>1</v>
      </c>
      <c r="G238" t="s">
        <v>10</v>
      </c>
      <c r="H238" t="s">
        <v>17</v>
      </c>
      <c r="I238" t="s">
        <v>30</v>
      </c>
    </row>
    <row r="239" spans="1:9" hidden="1">
      <c r="A239" s="9" t="s">
        <v>259</v>
      </c>
      <c r="B239" s="7" t="str">
        <f>VLOOKUP(Table2[[#This Row],[CaseNumber]],WH_Data[Case Number],1,FALSE)</f>
        <v>18401814</v>
      </c>
      <c r="C239" t="s">
        <v>23</v>
      </c>
      <c r="D239" s="3">
        <v>45877.609699074077</v>
      </c>
      <c r="E239" s="4">
        <v>0</v>
      </c>
      <c r="G239" t="s">
        <v>10</v>
      </c>
      <c r="H239" t="s">
        <v>19</v>
      </c>
      <c r="I239" t="s">
        <v>30</v>
      </c>
    </row>
    <row r="240" spans="1:9" hidden="1">
      <c r="A240" s="9" t="s">
        <v>260</v>
      </c>
      <c r="B240" s="7" t="str">
        <f>VLOOKUP(Table2[[#This Row],[CaseNumber]],WH_Data[Case Number],1,FALSE)</f>
        <v>18402402</v>
      </c>
      <c r="D240" s="3">
        <v>45924.646574074075</v>
      </c>
      <c r="E240" s="4">
        <v>0</v>
      </c>
      <c r="G240" t="s">
        <v>10</v>
      </c>
      <c r="H240" t="s">
        <v>11</v>
      </c>
      <c r="I240" t="s">
        <v>30</v>
      </c>
    </row>
    <row r="241" spans="1:9" hidden="1">
      <c r="A241" s="9" t="s">
        <v>261</v>
      </c>
      <c r="B241" s="7" t="str">
        <f>VLOOKUP(Table2[[#This Row],[CaseNumber]],WH_Data[Case Number],1,FALSE)</f>
        <v>18402772</v>
      </c>
      <c r="C241" t="s">
        <v>9</v>
      </c>
      <c r="D241" s="3">
        <v>45849.747418981482</v>
      </c>
      <c r="E241" s="4">
        <v>1</v>
      </c>
      <c r="G241" t="s">
        <v>10</v>
      </c>
      <c r="H241" t="s">
        <v>11</v>
      </c>
      <c r="I241" t="s">
        <v>30</v>
      </c>
    </row>
    <row r="242" spans="1:9" hidden="1">
      <c r="A242" s="9" t="s">
        <v>262</v>
      </c>
      <c r="B242" s="7" t="str">
        <f>VLOOKUP(Table2[[#This Row],[CaseNumber]],WH_Data[Case Number],1,FALSE)</f>
        <v>18403028</v>
      </c>
      <c r="C242" t="s">
        <v>9</v>
      </c>
      <c r="D242" s="3">
        <v>45945.401296296295</v>
      </c>
      <c r="E242" s="4">
        <v>1</v>
      </c>
      <c r="G242" t="s">
        <v>10</v>
      </c>
      <c r="H242" t="s">
        <v>15</v>
      </c>
      <c r="I242" t="s">
        <v>30</v>
      </c>
    </row>
    <row r="243" spans="1:9" hidden="1">
      <c r="A243" s="9" t="s">
        <v>263</v>
      </c>
      <c r="B243" s="7" t="str">
        <f>VLOOKUP(Table2[[#This Row],[CaseNumber]],WH_Data[Case Number],1,FALSE)</f>
        <v>18405837</v>
      </c>
      <c r="C243" t="s">
        <v>29</v>
      </c>
      <c r="D243" s="3">
        <v>45912.941805555558</v>
      </c>
      <c r="E243" s="4">
        <v>0</v>
      </c>
      <c r="G243" t="s">
        <v>10</v>
      </c>
      <c r="H243" t="s">
        <v>11</v>
      </c>
      <c r="I243" t="s">
        <v>30</v>
      </c>
    </row>
    <row r="244" spans="1:9" hidden="1">
      <c r="A244" s="9" t="s">
        <v>264</v>
      </c>
      <c r="B244" s="7" t="str">
        <f>VLOOKUP(Table2[[#This Row],[CaseNumber]],WH_Data[Case Number],1,FALSE)</f>
        <v>18405852</v>
      </c>
      <c r="C244" t="s">
        <v>29</v>
      </c>
      <c r="D244" s="3">
        <v>45860.726631944446</v>
      </c>
      <c r="E244" s="4">
        <v>1</v>
      </c>
      <c r="G244" t="s">
        <v>10</v>
      </c>
      <c r="H244" t="s">
        <v>11</v>
      </c>
      <c r="I244" t="s">
        <v>30</v>
      </c>
    </row>
    <row r="245" spans="1:9" hidden="1">
      <c r="A245" s="9" t="s">
        <v>265</v>
      </c>
      <c r="B245" s="7" t="str">
        <f>VLOOKUP(Table2[[#This Row],[CaseNumber]],WH_Data[Case Number],1,FALSE)</f>
        <v>18408759</v>
      </c>
      <c r="C245" t="s">
        <v>21</v>
      </c>
      <c r="D245" s="3">
        <v>45912.677418981482</v>
      </c>
      <c r="E245" s="4">
        <v>1</v>
      </c>
      <c r="G245" t="s">
        <v>10</v>
      </c>
      <c r="H245" t="s">
        <v>11</v>
      </c>
      <c r="I245" t="s">
        <v>30</v>
      </c>
    </row>
    <row r="246" spans="1:9" hidden="1">
      <c r="A246" s="9" t="s">
        <v>266</v>
      </c>
      <c r="B246" s="7" t="str">
        <f>VLOOKUP(Table2[[#This Row],[CaseNumber]],WH_Data[Case Number],1,FALSE)</f>
        <v>18412538</v>
      </c>
      <c r="C246" t="s">
        <v>14</v>
      </c>
      <c r="D246" s="3">
        <v>45835.331712962965</v>
      </c>
      <c r="E246" s="4">
        <v>1</v>
      </c>
      <c r="G246" t="s">
        <v>10</v>
      </c>
      <c r="H246" t="s">
        <v>17</v>
      </c>
      <c r="I246" t="s">
        <v>30</v>
      </c>
    </row>
    <row r="247" spans="1:9" hidden="1">
      <c r="A247" s="9" t="s">
        <v>267</v>
      </c>
      <c r="B247" s="7" t="str">
        <f>VLOOKUP(Table2[[#This Row],[CaseNumber]],WH_Data[Case Number],1,FALSE)</f>
        <v>18412616</v>
      </c>
      <c r="C247" t="s">
        <v>14</v>
      </c>
      <c r="D247" s="3">
        <v>45838.571006944447</v>
      </c>
      <c r="E247" s="4">
        <v>1</v>
      </c>
      <c r="G247" t="s">
        <v>10</v>
      </c>
      <c r="H247" t="s">
        <v>17</v>
      </c>
      <c r="I247" t="s">
        <v>30</v>
      </c>
    </row>
    <row r="248" spans="1:9" hidden="1">
      <c r="A248" s="9" t="s">
        <v>268</v>
      </c>
      <c r="B248" s="7" t="str">
        <f>VLOOKUP(Table2[[#This Row],[CaseNumber]],WH_Data[Case Number],1,FALSE)</f>
        <v>18412623</v>
      </c>
      <c r="C248" t="s">
        <v>14</v>
      </c>
      <c r="D248" s="3">
        <v>45846.278935185182</v>
      </c>
      <c r="E248" s="4">
        <v>1</v>
      </c>
      <c r="G248" t="s">
        <v>10</v>
      </c>
      <c r="H248" t="s">
        <v>17</v>
      </c>
      <c r="I248" t="s">
        <v>30</v>
      </c>
    </row>
    <row r="249" spans="1:9" hidden="1">
      <c r="A249" s="9" t="s">
        <v>269</v>
      </c>
      <c r="B249" s="7" t="str">
        <f>VLOOKUP(Table2[[#This Row],[CaseNumber]],WH_Data[Case Number],1,FALSE)</f>
        <v>18417487</v>
      </c>
      <c r="C249" t="s">
        <v>21</v>
      </c>
      <c r="D249" s="3">
        <v>45931.288761574076</v>
      </c>
      <c r="E249" s="4">
        <v>0</v>
      </c>
      <c r="G249" t="s">
        <v>10</v>
      </c>
      <c r="H249" t="s">
        <v>11</v>
      </c>
      <c r="I249" t="s">
        <v>30</v>
      </c>
    </row>
    <row r="250" spans="1:9" hidden="1">
      <c r="A250" s="9" t="s">
        <v>270</v>
      </c>
      <c r="B250" s="7" t="str">
        <f>VLOOKUP(Table2[[#This Row],[CaseNumber]],WH_Data[Case Number],1,FALSE)</f>
        <v>18419870</v>
      </c>
      <c r="C250" t="s">
        <v>21</v>
      </c>
      <c r="D250" s="3">
        <v>45887.811215277776</v>
      </c>
      <c r="E250" s="4">
        <v>1</v>
      </c>
      <c r="G250" t="s">
        <v>10</v>
      </c>
      <c r="H250" t="s">
        <v>11</v>
      </c>
      <c r="I250" t="s">
        <v>30</v>
      </c>
    </row>
    <row r="251" spans="1:9" hidden="1">
      <c r="A251" s="9" t="s">
        <v>271</v>
      </c>
      <c r="B251" s="7" t="str">
        <f>VLOOKUP(Table2[[#This Row],[CaseNumber]],WH_Data[Case Number],1,FALSE)</f>
        <v>18420239</v>
      </c>
      <c r="C251" t="s">
        <v>14</v>
      </c>
      <c r="D251" s="3">
        <v>45842.368483796294</v>
      </c>
      <c r="E251" s="4">
        <v>1</v>
      </c>
      <c r="G251" t="s">
        <v>10</v>
      </c>
      <c r="H251" t="s">
        <v>17</v>
      </c>
      <c r="I251" t="s">
        <v>30</v>
      </c>
    </row>
    <row r="252" spans="1:9" hidden="1">
      <c r="A252" s="9" t="s">
        <v>272</v>
      </c>
      <c r="B252" s="7" t="str">
        <f>VLOOKUP(Table2[[#This Row],[CaseNumber]],WH_Data[Case Number],1,FALSE)</f>
        <v>18420436</v>
      </c>
      <c r="C252" t="s">
        <v>29</v>
      </c>
      <c r="D252" s="3">
        <v>45876.373310185183</v>
      </c>
      <c r="E252" s="4">
        <v>1</v>
      </c>
      <c r="G252" t="s">
        <v>10</v>
      </c>
      <c r="H252" t="s">
        <v>11</v>
      </c>
      <c r="I252" t="s">
        <v>30</v>
      </c>
    </row>
    <row r="253" spans="1:9" hidden="1">
      <c r="A253" s="9" t="s">
        <v>273</v>
      </c>
      <c r="B253" s="7" t="str">
        <f>VLOOKUP(Table2[[#This Row],[CaseNumber]],WH_Data[Case Number],1,FALSE)</f>
        <v>18423204</v>
      </c>
      <c r="C253" t="s">
        <v>14</v>
      </c>
      <c r="D253" s="3">
        <v>45828.233576388891</v>
      </c>
      <c r="E253" s="4">
        <v>1</v>
      </c>
      <c r="G253" t="s">
        <v>10</v>
      </c>
      <c r="H253" t="s">
        <v>11</v>
      </c>
      <c r="I253" t="s">
        <v>30</v>
      </c>
    </row>
    <row r="254" spans="1:9" hidden="1">
      <c r="A254" s="9" t="s">
        <v>274</v>
      </c>
      <c r="B254" s="7" t="str">
        <f>VLOOKUP(Table2[[#This Row],[CaseNumber]],WH_Data[Case Number],1,FALSE)</f>
        <v>18425533</v>
      </c>
      <c r="C254" t="s">
        <v>29</v>
      </c>
      <c r="D254" s="3">
        <v>45912.677939814814</v>
      </c>
      <c r="E254" s="4">
        <v>1</v>
      </c>
      <c r="G254" t="s">
        <v>10</v>
      </c>
      <c r="H254" t="s">
        <v>11</v>
      </c>
      <c r="I254" t="s">
        <v>30</v>
      </c>
    </row>
    <row r="255" spans="1:9" hidden="1">
      <c r="A255" s="9" t="s">
        <v>275</v>
      </c>
      <c r="B255" s="7" t="str">
        <f>VLOOKUP(Table2[[#This Row],[CaseNumber]],WH_Data[Case Number],1,FALSE)</f>
        <v>18427742</v>
      </c>
      <c r="C255" t="s">
        <v>23</v>
      </c>
      <c r="D255" s="3">
        <v>45856.637719907405</v>
      </c>
      <c r="E255" s="4">
        <v>1</v>
      </c>
      <c r="G255" t="s">
        <v>10</v>
      </c>
      <c r="H255" t="s">
        <v>19</v>
      </c>
      <c r="I255" t="s">
        <v>30</v>
      </c>
    </row>
    <row r="256" spans="1:9" hidden="1">
      <c r="A256" s="9" t="s">
        <v>276</v>
      </c>
      <c r="B256" s="7" t="str">
        <f>VLOOKUP(Table2[[#This Row],[CaseNumber]],WH_Data[Case Number],1,FALSE)</f>
        <v>18430000</v>
      </c>
      <c r="C256" t="s">
        <v>21</v>
      </c>
      <c r="D256" s="3">
        <v>45958.882071759261</v>
      </c>
      <c r="E256" s="4">
        <v>1</v>
      </c>
      <c r="G256" t="s">
        <v>10</v>
      </c>
      <c r="H256" t="s">
        <v>11</v>
      </c>
      <c r="I256" t="s">
        <v>30</v>
      </c>
    </row>
    <row r="257" spans="1:9" hidden="1">
      <c r="A257" s="9" t="s">
        <v>277</v>
      </c>
      <c r="B257" s="7" t="str">
        <f>VLOOKUP(Table2[[#This Row],[CaseNumber]],WH_Data[Case Number],1,FALSE)</f>
        <v>18447526</v>
      </c>
      <c r="C257" t="s">
        <v>21</v>
      </c>
      <c r="D257" s="3">
        <v>45912.683344907404</v>
      </c>
      <c r="E257" s="4">
        <v>1</v>
      </c>
      <c r="G257" t="s">
        <v>10</v>
      </c>
      <c r="H257" t="s">
        <v>11</v>
      </c>
      <c r="I257" t="s">
        <v>30</v>
      </c>
    </row>
    <row r="258" spans="1:9" hidden="1">
      <c r="A258" s="9" t="s">
        <v>278</v>
      </c>
      <c r="B258" s="7" t="str">
        <f>VLOOKUP(Table2[[#This Row],[CaseNumber]],WH_Data[Case Number],1,FALSE)</f>
        <v>18447548</v>
      </c>
      <c r="C258" t="s">
        <v>21</v>
      </c>
      <c r="D258" s="3">
        <v>45912.680613425924</v>
      </c>
      <c r="E258" s="4">
        <v>1</v>
      </c>
      <c r="G258" t="s">
        <v>10</v>
      </c>
      <c r="H258" t="s">
        <v>11</v>
      </c>
      <c r="I258" t="s">
        <v>30</v>
      </c>
    </row>
    <row r="259" spans="1:9" hidden="1">
      <c r="A259" s="9" t="s">
        <v>279</v>
      </c>
      <c r="B259" s="7" t="str">
        <f>VLOOKUP(Table2[[#This Row],[CaseNumber]],WH_Data[Case Number],1,FALSE)</f>
        <v>18447584</v>
      </c>
      <c r="C259" t="s">
        <v>21</v>
      </c>
      <c r="D259" s="3">
        <v>45912.68173611111</v>
      </c>
      <c r="E259" s="4">
        <v>1</v>
      </c>
      <c r="G259" t="s">
        <v>10</v>
      </c>
      <c r="H259" t="s">
        <v>11</v>
      </c>
      <c r="I259" t="s">
        <v>30</v>
      </c>
    </row>
    <row r="260" spans="1:9" hidden="1">
      <c r="A260" s="9" t="s">
        <v>280</v>
      </c>
      <c r="B260" s="7" t="str">
        <f>VLOOKUP(Table2[[#This Row],[CaseNumber]],WH_Data[Case Number],1,FALSE)</f>
        <v>18447605</v>
      </c>
      <c r="C260" t="s">
        <v>21</v>
      </c>
      <c r="D260" s="3">
        <v>45912.679050925923</v>
      </c>
      <c r="E260" s="4">
        <v>1</v>
      </c>
      <c r="G260" t="s">
        <v>10</v>
      </c>
      <c r="H260" t="s">
        <v>11</v>
      </c>
      <c r="I260" t="s">
        <v>30</v>
      </c>
    </row>
    <row r="261" spans="1:9" hidden="1">
      <c r="A261" s="9" t="s">
        <v>281</v>
      </c>
      <c r="B261" s="7" t="str">
        <f>VLOOKUP(Table2[[#This Row],[CaseNumber]],WH_Data[Case Number],1,FALSE)</f>
        <v>18447772</v>
      </c>
      <c r="C261" t="s">
        <v>21</v>
      </c>
      <c r="D261" s="3">
        <v>45916.416886574072</v>
      </c>
      <c r="E261" s="4">
        <v>0</v>
      </c>
      <c r="G261" t="s">
        <v>10</v>
      </c>
      <c r="H261" t="s">
        <v>11</v>
      </c>
      <c r="I261" t="s">
        <v>30</v>
      </c>
    </row>
    <row r="262" spans="1:9" hidden="1">
      <c r="A262" s="9" t="s">
        <v>282</v>
      </c>
      <c r="B262" s="7" t="str">
        <f>VLOOKUP(Table2[[#This Row],[CaseNumber]],WH_Data[Case Number],1,FALSE)</f>
        <v>18459091</v>
      </c>
      <c r="C262" t="s">
        <v>29</v>
      </c>
      <c r="D262" s="3">
        <v>45945.375763888886</v>
      </c>
      <c r="E262" s="4">
        <v>1</v>
      </c>
      <c r="G262" t="s">
        <v>10</v>
      </c>
      <c r="H262" t="s">
        <v>17</v>
      </c>
      <c r="I262" t="s">
        <v>30</v>
      </c>
    </row>
    <row r="263" spans="1:9" hidden="1">
      <c r="A263" s="9" t="s">
        <v>283</v>
      </c>
      <c r="B263" s="7" t="str">
        <f>VLOOKUP(Table2[[#This Row],[CaseNumber]],WH_Data[Case Number],1,FALSE)</f>
        <v>18460640</v>
      </c>
      <c r="C263" t="s">
        <v>9</v>
      </c>
      <c r="D263" s="3">
        <v>45848.693831018521</v>
      </c>
      <c r="E263" s="4">
        <v>1</v>
      </c>
      <c r="G263" t="s">
        <v>10</v>
      </c>
      <c r="H263" t="s">
        <v>11</v>
      </c>
      <c r="I263" t="s">
        <v>30</v>
      </c>
    </row>
    <row r="264" spans="1:9" hidden="1">
      <c r="A264" s="9" t="s">
        <v>284</v>
      </c>
      <c r="B264" s="7" t="str">
        <f>VLOOKUP(Table2[[#This Row],[CaseNumber]],WH_Data[Case Number],1,FALSE)</f>
        <v>18460689</v>
      </c>
      <c r="C264" t="s">
        <v>9</v>
      </c>
      <c r="D264" s="3">
        <v>45848.719212962962</v>
      </c>
      <c r="E264" s="4">
        <v>1</v>
      </c>
      <c r="G264" t="s">
        <v>10</v>
      </c>
      <c r="H264" t="s">
        <v>11</v>
      </c>
      <c r="I264" t="s">
        <v>30</v>
      </c>
    </row>
    <row r="265" spans="1:9" hidden="1">
      <c r="A265" s="9" t="s">
        <v>285</v>
      </c>
      <c r="B265" s="7" t="str">
        <f>VLOOKUP(Table2[[#This Row],[CaseNumber]],WH_Data[Case Number],1,FALSE)</f>
        <v>18460785</v>
      </c>
      <c r="C265" t="s">
        <v>23</v>
      </c>
      <c r="D265" s="3">
        <v>45876.268125000002</v>
      </c>
      <c r="E265" s="4">
        <v>1</v>
      </c>
      <c r="G265" t="s">
        <v>10</v>
      </c>
      <c r="H265" t="s">
        <v>11</v>
      </c>
      <c r="I265" t="s">
        <v>30</v>
      </c>
    </row>
    <row r="266" spans="1:9" hidden="1">
      <c r="A266" s="9" t="s">
        <v>286</v>
      </c>
      <c r="B266" s="7" t="str">
        <f>VLOOKUP(Table2[[#This Row],[CaseNumber]],WH_Data[Case Number],1,FALSE)</f>
        <v>18460804</v>
      </c>
      <c r="C266" t="s">
        <v>29</v>
      </c>
      <c r="D266" s="3">
        <v>45875.260324074072</v>
      </c>
      <c r="E266" s="4">
        <v>1</v>
      </c>
      <c r="G266" t="s">
        <v>10</v>
      </c>
      <c r="H266" t="s">
        <v>11</v>
      </c>
      <c r="I266" t="s">
        <v>30</v>
      </c>
    </row>
    <row r="267" spans="1:9" hidden="1">
      <c r="A267" s="9" t="s">
        <v>287</v>
      </c>
      <c r="B267" s="7" t="str">
        <f>VLOOKUP(Table2[[#This Row],[CaseNumber]],WH_Data[Case Number],1,FALSE)</f>
        <v>18460817</v>
      </c>
      <c r="C267" t="s">
        <v>23</v>
      </c>
      <c r="D267" s="3">
        <v>45882.239699074074</v>
      </c>
      <c r="E267" s="4">
        <v>1</v>
      </c>
      <c r="G267" t="s">
        <v>10</v>
      </c>
      <c r="H267" t="s">
        <v>11</v>
      </c>
      <c r="I267" t="s">
        <v>30</v>
      </c>
    </row>
    <row r="268" spans="1:9" hidden="1">
      <c r="A268" s="9" t="s">
        <v>288</v>
      </c>
      <c r="B268" s="7" t="str">
        <f>VLOOKUP(Table2[[#This Row],[CaseNumber]],WH_Data[Case Number],1,FALSE)</f>
        <v>18460836</v>
      </c>
      <c r="C268" t="s">
        <v>23</v>
      </c>
      <c r="D268" s="3">
        <v>45882.246678240743</v>
      </c>
      <c r="E268" s="4">
        <v>1</v>
      </c>
      <c r="G268" t="s">
        <v>10</v>
      </c>
      <c r="H268" t="s">
        <v>11</v>
      </c>
      <c r="I268" t="s">
        <v>30</v>
      </c>
    </row>
    <row r="269" spans="1:9" hidden="1">
      <c r="A269" s="9" t="s">
        <v>289</v>
      </c>
      <c r="B269" s="7" t="str">
        <f>VLOOKUP(Table2[[#This Row],[CaseNumber]],WH_Data[Case Number],1,FALSE)</f>
        <v>18460846</v>
      </c>
      <c r="C269" t="s">
        <v>29</v>
      </c>
      <c r="D269" s="3">
        <v>45894.268564814818</v>
      </c>
      <c r="E269" s="4">
        <v>1</v>
      </c>
      <c r="G269" t="s">
        <v>10</v>
      </c>
      <c r="H269" t="s">
        <v>11</v>
      </c>
      <c r="I269" t="s">
        <v>30</v>
      </c>
    </row>
    <row r="270" spans="1:9" hidden="1">
      <c r="A270" s="9" t="s">
        <v>290</v>
      </c>
      <c r="B270" s="7" t="str">
        <f>VLOOKUP(Table2[[#This Row],[CaseNumber]],WH_Data[Case Number],1,FALSE)</f>
        <v>18460853</v>
      </c>
      <c r="C270" t="s">
        <v>29</v>
      </c>
      <c r="D270" s="3">
        <v>45895.523321759261</v>
      </c>
      <c r="E270" s="4">
        <v>1</v>
      </c>
      <c r="G270" t="s">
        <v>10</v>
      </c>
      <c r="H270" t="s">
        <v>11</v>
      </c>
      <c r="I270" t="s">
        <v>30</v>
      </c>
    </row>
    <row r="271" spans="1:9" hidden="1">
      <c r="A271" s="9" t="s">
        <v>291</v>
      </c>
      <c r="B271" s="7" t="str">
        <f>VLOOKUP(Table2[[#This Row],[CaseNumber]],WH_Data[Case Number],1,FALSE)</f>
        <v>18460865</v>
      </c>
      <c r="C271" t="s">
        <v>29</v>
      </c>
      <c r="D271" s="3">
        <v>45898.222650462965</v>
      </c>
      <c r="E271" s="4">
        <v>1</v>
      </c>
      <c r="G271" t="s">
        <v>10</v>
      </c>
      <c r="H271" t="s">
        <v>11</v>
      </c>
      <c r="I271" t="s">
        <v>30</v>
      </c>
    </row>
    <row r="272" spans="1:9" hidden="1">
      <c r="A272" s="9" t="s">
        <v>292</v>
      </c>
      <c r="B272" s="7" t="str">
        <f>VLOOKUP(Table2[[#This Row],[CaseNumber]],WH_Data[Case Number],1,FALSE)</f>
        <v>18461590</v>
      </c>
      <c r="C272" t="s">
        <v>29</v>
      </c>
      <c r="D272" s="3">
        <v>45926.250104166669</v>
      </c>
      <c r="E272" s="4">
        <v>1</v>
      </c>
      <c r="G272" t="s">
        <v>10</v>
      </c>
      <c r="H272" t="s">
        <v>11</v>
      </c>
      <c r="I272" t="s">
        <v>30</v>
      </c>
    </row>
    <row r="273" spans="1:9" hidden="1">
      <c r="A273" s="9" t="s">
        <v>293</v>
      </c>
      <c r="B273" s="7" t="str">
        <f>VLOOKUP(Table2[[#This Row],[CaseNumber]],WH_Data[Case Number],1,FALSE)</f>
        <v>18465822</v>
      </c>
      <c r="C273" t="s">
        <v>29</v>
      </c>
      <c r="D273" s="3">
        <v>45944.387615740743</v>
      </c>
      <c r="E273" s="4">
        <v>0</v>
      </c>
      <c r="G273" t="s">
        <v>10</v>
      </c>
      <c r="H273" t="s">
        <v>11</v>
      </c>
      <c r="I273" t="s">
        <v>30</v>
      </c>
    </row>
    <row r="274" spans="1:9" hidden="1">
      <c r="A274" s="9" t="s">
        <v>294</v>
      </c>
      <c r="B274" s="7" t="str">
        <f>VLOOKUP(Table2[[#This Row],[CaseNumber]],WH_Data[Case Number],1,FALSE)</f>
        <v>18466216</v>
      </c>
      <c r="C274" t="s">
        <v>14</v>
      </c>
      <c r="D274" s="3">
        <v>45940.304143518515</v>
      </c>
      <c r="E274" s="4">
        <v>1</v>
      </c>
      <c r="G274" t="s">
        <v>10</v>
      </c>
      <c r="H274" t="s">
        <v>11</v>
      </c>
      <c r="I274" t="s">
        <v>30</v>
      </c>
    </row>
    <row r="275" spans="1:9" hidden="1">
      <c r="A275" s="9" t="s">
        <v>295</v>
      </c>
      <c r="B275" s="7" t="str">
        <f>VLOOKUP(Table2[[#This Row],[CaseNumber]],WH_Data[Case Number],1,FALSE)</f>
        <v>18471876</v>
      </c>
      <c r="C275" t="s">
        <v>23</v>
      </c>
      <c r="D275" s="3">
        <v>45862.42832175926</v>
      </c>
      <c r="E275" s="4">
        <v>1</v>
      </c>
      <c r="G275" t="s">
        <v>10</v>
      </c>
      <c r="H275" t="s">
        <v>19</v>
      </c>
      <c r="I275" t="s">
        <v>30</v>
      </c>
    </row>
    <row r="276" spans="1:9" hidden="1">
      <c r="A276" s="9" t="s">
        <v>296</v>
      </c>
      <c r="B276" s="7" t="str">
        <f>VLOOKUP(Table2[[#This Row],[CaseNumber]],WH_Data[Case Number],1,FALSE)</f>
        <v>18473906</v>
      </c>
      <c r="C276" t="s">
        <v>21</v>
      </c>
      <c r="D276" s="3">
        <v>45958.538252314815</v>
      </c>
      <c r="E276" s="4">
        <v>1</v>
      </c>
      <c r="G276" t="s">
        <v>10</v>
      </c>
      <c r="H276" t="s">
        <v>46</v>
      </c>
      <c r="I276" t="s">
        <v>30</v>
      </c>
    </row>
    <row r="277" spans="1:9" hidden="1">
      <c r="A277" s="9" t="s">
        <v>297</v>
      </c>
      <c r="B277" s="7" t="str">
        <f>VLOOKUP(Table2[[#This Row],[CaseNumber]],WH_Data[Case Number],1,FALSE)</f>
        <v>18485540</v>
      </c>
      <c r="C277" t="s">
        <v>9</v>
      </c>
      <c r="D277" s="3">
        <v>45980.740300925929</v>
      </c>
      <c r="E277" s="4">
        <v>1</v>
      </c>
      <c r="G277" t="s">
        <v>10</v>
      </c>
      <c r="H277" t="s">
        <v>44</v>
      </c>
      <c r="I277" t="s">
        <v>30</v>
      </c>
    </row>
    <row r="278" spans="1:9" hidden="1">
      <c r="A278" s="9" t="s">
        <v>298</v>
      </c>
      <c r="B278" s="7" t="str">
        <f>VLOOKUP(Table2[[#This Row],[CaseNumber]],WH_Data[Case Number],1,FALSE)</f>
        <v>18490344</v>
      </c>
      <c r="C278" t="s">
        <v>9</v>
      </c>
      <c r="D278" s="3">
        <v>45847.242881944447</v>
      </c>
      <c r="E278" s="4">
        <v>1</v>
      </c>
      <c r="G278" t="s">
        <v>10</v>
      </c>
      <c r="H278" t="s">
        <v>11</v>
      </c>
      <c r="I278" t="s">
        <v>30</v>
      </c>
    </row>
    <row r="279" spans="1:9" hidden="1">
      <c r="A279" s="9" t="s">
        <v>299</v>
      </c>
      <c r="B279" s="7" t="str">
        <f>VLOOKUP(Table2[[#This Row],[CaseNumber]],WH_Data[Case Number],1,FALSE)</f>
        <v>18492823</v>
      </c>
      <c r="C279" t="s">
        <v>29</v>
      </c>
      <c r="D279" s="3">
        <v>45982.601435185185</v>
      </c>
      <c r="E279" s="4">
        <v>1</v>
      </c>
      <c r="G279" t="s">
        <v>10</v>
      </c>
      <c r="H279" t="s">
        <v>15</v>
      </c>
      <c r="I279" t="s">
        <v>30</v>
      </c>
    </row>
    <row r="280" spans="1:9" hidden="1">
      <c r="A280" s="9" t="s">
        <v>300</v>
      </c>
      <c r="B280" s="7" t="str">
        <f>VLOOKUP(Table2[[#This Row],[CaseNumber]],WH_Data[Case Number],1,FALSE)</f>
        <v>18497949</v>
      </c>
      <c r="C280" t="s">
        <v>23</v>
      </c>
      <c r="D280" s="3">
        <v>45866.329189814816</v>
      </c>
      <c r="E280" s="4">
        <v>1</v>
      </c>
      <c r="G280" t="s">
        <v>10</v>
      </c>
      <c r="H280" t="s">
        <v>19</v>
      </c>
      <c r="I280" t="s">
        <v>30</v>
      </c>
    </row>
    <row r="281" spans="1:9" hidden="1">
      <c r="A281" s="9" t="s">
        <v>301</v>
      </c>
      <c r="B281" s="7" t="str">
        <f>VLOOKUP(Table2[[#This Row],[CaseNumber]],WH_Data[Case Number],1,FALSE)</f>
        <v>18498551</v>
      </c>
      <c r="C281" t="s">
        <v>9</v>
      </c>
      <c r="D281" s="3">
        <v>45933.271296296298</v>
      </c>
      <c r="E281" s="4">
        <v>1</v>
      </c>
      <c r="G281" t="s">
        <v>10</v>
      </c>
      <c r="H281" t="s">
        <v>19</v>
      </c>
      <c r="I281" t="s">
        <v>30</v>
      </c>
    </row>
    <row r="282" spans="1:9" hidden="1">
      <c r="A282" s="9" t="s">
        <v>302</v>
      </c>
      <c r="B282" s="7" t="str">
        <f>VLOOKUP(Table2[[#This Row],[CaseNumber]],WH_Data[Case Number],1,FALSE)</f>
        <v>18499476</v>
      </c>
      <c r="C282" t="s">
        <v>9</v>
      </c>
      <c r="D282" s="3">
        <v>45931.581087962964</v>
      </c>
      <c r="E282" s="4">
        <v>1</v>
      </c>
      <c r="G282" t="s">
        <v>10</v>
      </c>
      <c r="H282" t="s">
        <v>19</v>
      </c>
      <c r="I282" t="s">
        <v>30</v>
      </c>
    </row>
    <row r="283" spans="1:9" hidden="1">
      <c r="A283" s="9" t="s">
        <v>303</v>
      </c>
      <c r="B283" s="7" t="str">
        <f>VLOOKUP(Table2[[#This Row],[CaseNumber]],WH_Data[Case Number],1,FALSE)</f>
        <v>18504797</v>
      </c>
      <c r="C283" t="s">
        <v>9</v>
      </c>
      <c r="D283" s="3">
        <v>45849.630624999998</v>
      </c>
      <c r="E283" s="4">
        <v>1</v>
      </c>
      <c r="G283" t="s">
        <v>10</v>
      </c>
      <c r="H283" t="s">
        <v>11</v>
      </c>
      <c r="I283" t="s">
        <v>30</v>
      </c>
    </row>
    <row r="284" spans="1:9" hidden="1">
      <c r="A284" s="9" t="s">
        <v>304</v>
      </c>
      <c r="B284" s="7" t="str">
        <f>VLOOKUP(Table2[[#This Row],[CaseNumber]],WH_Data[Case Number],1,FALSE)</f>
        <v>18524628</v>
      </c>
      <c r="C284" t="s">
        <v>9</v>
      </c>
      <c r="D284" s="3">
        <v>45870.525694444441</v>
      </c>
      <c r="E284" s="4">
        <v>1</v>
      </c>
      <c r="G284" t="s">
        <v>10</v>
      </c>
      <c r="H284" t="s">
        <v>17</v>
      </c>
      <c r="I284" t="s">
        <v>30</v>
      </c>
    </row>
    <row r="285" spans="1:9" hidden="1">
      <c r="A285" s="9" t="s">
        <v>305</v>
      </c>
      <c r="B285" s="7" t="str">
        <f>VLOOKUP(Table2[[#This Row],[CaseNumber]],WH_Data[Case Number],1,FALSE)</f>
        <v>18532061</v>
      </c>
      <c r="C285" t="s">
        <v>21</v>
      </c>
      <c r="D285" s="3">
        <v>45961.453761574077</v>
      </c>
      <c r="E285" s="4">
        <v>0</v>
      </c>
      <c r="G285" t="s">
        <v>10</v>
      </c>
      <c r="H285" t="s">
        <v>17</v>
      </c>
      <c r="I285" t="s">
        <v>30</v>
      </c>
    </row>
    <row r="286" spans="1:9" hidden="1">
      <c r="A286" s="9" t="s">
        <v>306</v>
      </c>
      <c r="B286" s="7" t="str">
        <f>VLOOKUP(Table2[[#This Row],[CaseNumber]],WH_Data[Case Number],1,FALSE)</f>
        <v>18539060</v>
      </c>
      <c r="C286" t="s">
        <v>21</v>
      </c>
      <c r="D286" s="3">
        <v>45944.4766087963</v>
      </c>
      <c r="E286" s="4">
        <v>0</v>
      </c>
      <c r="G286" t="s">
        <v>10</v>
      </c>
      <c r="H286" t="s">
        <v>11</v>
      </c>
      <c r="I286" t="s">
        <v>30</v>
      </c>
    </row>
    <row r="287" spans="1:9" hidden="1">
      <c r="A287" s="9" t="s">
        <v>307</v>
      </c>
      <c r="B287" s="7" t="str">
        <f>VLOOKUP(Table2[[#This Row],[CaseNumber]],WH_Data[Case Number],1,FALSE)</f>
        <v>18540465</v>
      </c>
      <c r="C287" t="s">
        <v>21</v>
      </c>
      <c r="D287" s="3">
        <v>45933.54283564815</v>
      </c>
      <c r="E287" s="4">
        <v>1</v>
      </c>
      <c r="G287" t="s">
        <v>10</v>
      </c>
      <c r="H287" t="s">
        <v>11</v>
      </c>
      <c r="I287" t="s">
        <v>30</v>
      </c>
    </row>
    <row r="288" spans="1:9" hidden="1">
      <c r="A288" s="9" t="s">
        <v>308</v>
      </c>
      <c r="B288" s="7" t="str">
        <f>VLOOKUP(Table2[[#This Row],[CaseNumber]],WH_Data[Case Number],1,FALSE)</f>
        <v>18543330</v>
      </c>
      <c r="C288" t="s">
        <v>14</v>
      </c>
      <c r="D288" s="3">
        <v>45945.400590277779</v>
      </c>
      <c r="E288" s="4">
        <v>1</v>
      </c>
      <c r="G288" t="s">
        <v>10</v>
      </c>
      <c r="H288" t="s">
        <v>11</v>
      </c>
      <c r="I288" t="s">
        <v>30</v>
      </c>
    </row>
    <row r="289" spans="1:9" hidden="1">
      <c r="A289" s="9" t="s">
        <v>309</v>
      </c>
      <c r="B289" s="7" t="str">
        <f>VLOOKUP(Table2[[#This Row],[CaseNumber]],WH_Data[Case Number],1,FALSE)</f>
        <v>18543868</v>
      </c>
      <c r="C289" t="s">
        <v>29</v>
      </c>
      <c r="D289" s="3">
        <v>45916.433472222219</v>
      </c>
      <c r="E289" s="4">
        <v>1</v>
      </c>
      <c r="G289" t="s">
        <v>10</v>
      </c>
      <c r="H289" t="s">
        <v>11</v>
      </c>
      <c r="I289" t="s">
        <v>30</v>
      </c>
    </row>
    <row r="290" spans="1:9" hidden="1">
      <c r="A290" s="9" t="s">
        <v>310</v>
      </c>
      <c r="B290" s="7" t="str">
        <f>VLOOKUP(Table2[[#This Row],[CaseNumber]],WH_Data[Case Number],1,FALSE)</f>
        <v>18549996</v>
      </c>
      <c r="C290" t="s">
        <v>14</v>
      </c>
      <c r="D290" s="3">
        <v>45936.326388888891</v>
      </c>
      <c r="E290" s="4">
        <v>1</v>
      </c>
      <c r="G290" t="s">
        <v>10</v>
      </c>
      <c r="H290" t="s">
        <v>15</v>
      </c>
      <c r="I290" t="s">
        <v>30</v>
      </c>
    </row>
    <row r="291" spans="1:9" hidden="1">
      <c r="A291" s="9" t="s">
        <v>311</v>
      </c>
      <c r="B291" s="7" t="str">
        <f>VLOOKUP(Table2[[#This Row],[CaseNumber]],WH_Data[Case Number],1,FALSE)</f>
        <v>18554271</v>
      </c>
      <c r="C291" t="s">
        <v>29</v>
      </c>
      <c r="D291" s="3">
        <v>45908.313877314817</v>
      </c>
      <c r="E291" s="4">
        <v>1</v>
      </c>
      <c r="G291" t="s">
        <v>10</v>
      </c>
      <c r="H291" t="s">
        <v>11</v>
      </c>
      <c r="I291" t="s">
        <v>30</v>
      </c>
    </row>
    <row r="292" spans="1:9" hidden="1">
      <c r="A292" s="9" t="s">
        <v>312</v>
      </c>
      <c r="B292" s="7" t="str">
        <f>VLOOKUP(Table2[[#This Row],[CaseNumber]],WH_Data[Case Number],1,FALSE)</f>
        <v>18562810</v>
      </c>
      <c r="C292" t="s">
        <v>21</v>
      </c>
      <c r="D292" s="3">
        <v>45945.43408564815</v>
      </c>
      <c r="E292" s="4">
        <v>1</v>
      </c>
      <c r="G292" t="s">
        <v>10</v>
      </c>
      <c r="H292" t="s">
        <v>11</v>
      </c>
      <c r="I292" t="s">
        <v>30</v>
      </c>
    </row>
    <row r="293" spans="1:9" hidden="1">
      <c r="A293" s="9" t="s">
        <v>313</v>
      </c>
      <c r="B293" s="7" t="str">
        <f>VLOOKUP(Table2[[#This Row],[CaseNumber]],WH_Data[Case Number],1,FALSE)</f>
        <v>18565832</v>
      </c>
      <c r="C293" t="s">
        <v>29</v>
      </c>
      <c r="D293" s="3">
        <v>45889.47552083333</v>
      </c>
      <c r="E293" s="4">
        <v>1</v>
      </c>
      <c r="G293" t="s">
        <v>10</v>
      </c>
      <c r="H293" t="s">
        <v>19</v>
      </c>
      <c r="I293" t="s">
        <v>30</v>
      </c>
    </row>
    <row r="294" spans="1:9" hidden="1">
      <c r="A294" s="9" t="s">
        <v>314</v>
      </c>
      <c r="B294" s="7" t="str">
        <f>VLOOKUP(Table2[[#This Row],[CaseNumber]],WH_Data[Case Number],1,FALSE)</f>
        <v>18566596</v>
      </c>
      <c r="C294" t="s">
        <v>21</v>
      </c>
      <c r="D294" s="3">
        <v>45933.293483796297</v>
      </c>
      <c r="E294" s="4">
        <v>1</v>
      </c>
      <c r="G294" t="s">
        <v>10</v>
      </c>
      <c r="H294" t="s">
        <v>11</v>
      </c>
      <c r="I294" t="s">
        <v>30</v>
      </c>
    </row>
    <row r="295" spans="1:9" hidden="1">
      <c r="A295" s="9" t="s">
        <v>315</v>
      </c>
      <c r="B295" s="7" t="str">
        <f>VLOOKUP(Table2[[#This Row],[CaseNumber]],WH_Data[Case Number],1,FALSE)</f>
        <v>18567146</v>
      </c>
      <c r="C295" t="s">
        <v>29</v>
      </c>
      <c r="D295" s="3">
        <v>45862.421527777777</v>
      </c>
      <c r="E295" s="4">
        <v>1</v>
      </c>
      <c r="G295" t="s">
        <v>10</v>
      </c>
      <c r="H295" t="s">
        <v>19</v>
      </c>
      <c r="I295" t="s">
        <v>30</v>
      </c>
    </row>
    <row r="296" spans="1:9" hidden="1">
      <c r="A296" s="9" t="s">
        <v>316</v>
      </c>
      <c r="B296" s="7" t="str">
        <f>VLOOKUP(Table2[[#This Row],[CaseNumber]],WH_Data[Case Number],1,FALSE)</f>
        <v>18567819</v>
      </c>
      <c r="C296" t="s">
        <v>29</v>
      </c>
      <c r="D296" s="3">
        <v>45943.46702546296</v>
      </c>
      <c r="E296" s="4">
        <v>1</v>
      </c>
      <c r="G296" t="s">
        <v>10</v>
      </c>
      <c r="H296" t="s">
        <v>17</v>
      </c>
      <c r="I296" t="s">
        <v>30</v>
      </c>
    </row>
    <row r="297" spans="1:9" hidden="1">
      <c r="A297" s="9" t="s">
        <v>317</v>
      </c>
      <c r="B297" s="7" t="str">
        <f>VLOOKUP(Table2[[#This Row],[CaseNumber]],WH_Data[Case Number],1,FALSE)</f>
        <v>18567844</v>
      </c>
      <c r="C297" t="s">
        <v>29</v>
      </c>
      <c r="D297" s="3">
        <v>45943.467060185183</v>
      </c>
      <c r="E297" s="4">
        <v>1</v>
      </c>
      <c r="G297" t="s">
        <v>10</v>
      </c>
      <c r="H297" t="s">
        <v>17</v>
      </c>
      <c r="I297" t="s">
        <v>30</v>
      </c>
    </row>
    <row r="298" spans="1:9" hidden="1">
      <c r="A298" s="9" t="s">
        <v>318</v>
      </c>
      <c r="B298" s="7" t="str">
        <f>VLOOKUP(Table2[[#This Row],[CaseNumber]],WH_Data[Case Number],1,FALSE)</f>
        <v>18568870</v>
      </c>
      <c r="C298" t="s">
        <v>29</v>
      </c>
      <c r="D298" s="3">
        <v>45945.2733912037</v>
      </c>
      <c r="E298" s="4">
        <v>1</v>
      </c>
      <c r="G298" t="s">
        <v>10</v>
      </c>
      <c r="H298" t="s">
        <v>11</v>
      </c>
      <c r="I298" t="s">
        <v>30</v>
      </c>
    </row>
    <row r="299" spans="1:9" hidden="1">
      <c r="A299" s="9" t="s">
        <v>319</v>
      </c>
      <c r="B299" s="7" t="str">
        <f>VLOOKUP(Table2[[#This Row],[CaseNumber]],WH_Data[Case Number],1,FALSE)</f>
        <v>18575027</v>
      </c>
      <c r="C299" t="s">
        <v>9</v>
      </c>
      <c r="D299" s="3">
        <v>45944.485949074071</v>
      </c>
      <c r="E299" s="4">
        <v>0</v>
      </c>
      <c r="G299" t="s">
        <v>10</v>
      </c>
      <c r="H299" t="s">
        <v>11</v>
      </c>
      <c r="I299" t="s">
        <v>30</v>
      </c>
    </row>
    <row r="300" spans="1:9" hidden="1">
      <c r="A300" s="9" t="s">
        <v>320</v>
      </c>
      <c r="B300" s="7" t="str">
        <f>VLOOKUP(Table2[[#This Row],[CaseNumber]],WH_Data[Case Number],1,FALSE)</f>
        <v>18580003</v>
      </c>
      <c r="D300" s="3">
        <v>45931.608206018522</v>
      </c>
      <c r="E300" s="4">
        <v>1</v>
      </c>
      <c r="G300" t="s">
        <v>10</v>
      </c>
      <c r="H300" t="s">
        <v>11</v>
      </c>
      <c r="I300" t="s">
        <v>30</v>
      </c>
    </row>
    <row r="301" spans="1:9" hidden="1">
      <c r="A301" s="9" t="s">
        <v>321</v>
      </c>
      <c r="B301" s="7" t="str">
        <f>VLOOKUP(Table2[[#This Row],[CaseNumber]],WH_Data[Case Number],1,FALSE)</f>
        <v>18580005</v>
      </c>
      <c r="C301" t="s">
        <v>21</v>
      </c>
      <c r="D301" s="3">
        <v>45940.272164351853</v>
      </c>
      <c r="E301" s="4">
        <v>1</v>
      </c>
      <c r="G301" t="s">
        <v>10</v>
      </c>
      <c r="H301" t="s">
        <v>11</v>
      </c>
      <c r="I301" t="s">
        <v>30</v>
      </c>
    </row>
    <row r="302" spans="1:9" hidden="1">
      <c r="A302" s="9" t="s">
        <v>322</v>
      </c>
      <c r="B302" s="7" t="str">
        <f>VLOOKUP(Table2[[#This Row],[CaseNumber]],WH_Data[Case Number],1,FALSE)</f>
        <v>18580007</v>
      </c>
      <c r="C302" t="s">
        <v>9</v>
      </c>
      <c r="D302" s="3">
        <v>45945.273449074077</v>
      </c>
      <c r="E302" s="4">
        <v>1</v>
      </c>
      <c r="G302" t="s">
        <v>10</v>
      </c>
      <c r="H302" t="s">
        <v>11</v>
      </c>
      <c r="I302" t="s">
        <v>30</v>
      </c>
    </row>
    <row r="303" spans="1:9" hidden="1">
      <c r="A303" s="9" t="s">
        <v>323</v>
      </c>
      <c r="B303" s="7" t="str">
        <f>VLOOKUP(Table2[[#This Row],[CaseNumber]],WH_Data[Case Number],1,FALSE)</f>
        <v>18580021</v>
      </c>
      <c r="C303" t="s">
        <v>21</v>
      </c>
      <c r="D303" s="3">
        <v>45943.493680555555</v>
      </c>
      <c r="E303" s="4">
        <v>1</v>
      </c>
      <c r="G303" t="s">
        <v>10</v>
      </c>
      <c r="H303" t="s">
        <v>11</v>
      </c>
      <c r="I303" t="s">
        <v>30</v>
      </c>
    </row>
    <row r="304" spans="1:9" hidden="1">
      <c r="A304" s="9" t="s">
        <v>324</v>
      </c>
      <c r="B304" s="7" t="str">
        <f>VLOOKUP(Table2[[#This Row],[CaseNumber]],WH_Data[Case Number],1,FALSE)</f>
        <v>18580026</v>
      </c>
      <c r="C304" t="s">
        <v>21</v>
      </c>
      <c r="D304" s="3">
        <v>45933.286770833336</v>
      </c>
      <c r="E304" s="4">
        <v>1</v>
      </c>
      <c r="G304" t="s">
        <v>10</v>
      </c>
      <c r="H304" t="s">
        <v>11</v>
      </c>
      <c r="I304" t="s">
        <v>30</v>
      </c>
    </row>
    <row r="305" spans="1:9" hidden="1">
      <c r="A305" s="9" t="s">
        <v>325</v>
      </c>
      <c r="B305" s="7" t="str">
        <f>VLOOKUP(Table2[[#This Row],[CaseNumber]],WH_Data[Case Number],1,FALSE)</f>
        <v>18580077</v>
      </c>
      <c r="C305" t="s">
        <v>29</v>
      </c>
      <c r="D305" s="3">
        <v>45945.273506944446</v>
      </c>
      <c r="E305" s="4">
        <v>1</v>
      </c>
      <c r="G305" t="s">
        <v>10</v>
      </c>
      <c r="H305" t="s">
        <v>11</v>
      </c>
      <c r="I305" t="s">
        <v>30</v>
      </c>
    </row>
    <row r="306" spans="1:9" hidden="1">
      <c r="A306" s="9" t="s">
        <v>326</v>
      </c>
      <c r="B306" s="7" t="str">
        <f>VLOOKUP(Table2[[#This Row],[CaseNumber]],WH_Data[Case Number],1,FALSE)</f>
        <v>18582722</v>
      </c>
      <c r="C306" t="s">
        <v>21</v>
      </c>
      <c r="D306" s="3">
        <v>45943.46166666667</v>
      </c>
      <c r="E306" s="4">
        <v>1</v>
      </c>
      <c r="G306" t="s">
        <v>10</v>
      </c>
      <c r="H306" t="s">
        <v>11</v>
      </c>
      <c r="I306" t="s">
        <v>30</v>
      </c>
    </row>
    <row r="307" spans="1:9" hidden="1">
      <c r="A307" s="9" t="s">
        <v>327</v>
      </c>
      <c r="B307" s="7" t="str">
        <f>VLOOKUP(Table2[[#This Row],[CaseNumber]],WH_Data[Case Number],1,FALSE)</f>
        <v>18591616</v>
      </c>
      <c r="C307" t="s">
        <v>29</v>
      </c>
      <c r="D307" s="3">
        <v>45946.292118055557</v>
      </c>
      <c r="E307" s="4">
        <v>1</v>
      </c>
      <c r="G307" t="s">
        <v>10</v>
      </c>
      <c r="H307" t="s">
        <v>17</v>
      </c>
      <c r="I307" t="s">
        <v>30</v>
      </c>
    </row>
    <row r="308" spans="1:9" hidden="1">
      <c r="A308" s="9" t="s">
        <v>328</v>
      </c>
      <c r="B308" s="7" t="str">
        <f>VLOOKUP(Table2[[#This Row],[CaseNumber]],WH_Data[Case Number],1,FALSE)</f>
        <v>18591618</v>
      </c>
      <c r="C308" t="s">
        <v>29</v>
      </c>
      <c r="D308" s="3">
        <v>45943.467199074075</v>
      </c>
      <c r="E308" s="4">
        <v>1</v>
      </c>
      <c r="G308" t="s">
        <v>10</v>
      </c>
      <c r="H308" t="s">
        <v>17</v>
      </c>
      <c r="I308" t="s">
        <v>30</v>
      </c>
    </row>
    <row r="309" spans="1:9" hidden="1">
      <c r="A309" s="9" t="s">
        <v>329</v>
      </c>
      <c r="B309" s="7" t="str">
        <f>VLOOKUP(Table2[[#This Row],[CaseNumber]],WH_Data[Case Number],1,FALSE)</f>
        <v>18591622</v>
      </c>
      <c r="C309" t="s">
        <v>21</v>
      </c>
      <c r="D309" s="3">
        <v>45943.467314814814</v>
      </c>
      <c r="E309" s="4">
        <v>1</v>
      </c>
      <c r="G309" t="s">
        <v>10</v>
      </c>
      <c r="H309" t="s">
        <v>17</v>
      </c>
      <c r="I309" t="s">
        <v>30</v>
      </c>
    </row>
    <row r="310" spans="1:9" hidden="1">
      <c r="A310" s="9" t="s">
        <v>330</v>
      </c>
      <c r="B310" s="7" t="str">
        <f>VLOOKUP(Table2[[#This Row],[CaseNumber]],WH_Data[Case Number],1,FALSE)</f>
        <v>18591625</v>
      </c>
      <c r="C310" t="s">
        <v>29</v>
      </c>
      <c r="D310" s="3">
        <v>45943.467164351852</v>
      </c>
      <c r="E310" s="4">
        <v>1</v>
      </c>
      <c r="G310" t="s">
        <v>10</v>
      </c>
      <c r="H310" t="s">
        <v>17</v>
      </c>
      <c r="I310" t="s">
        <v>30</v>
      </c>
    </row>
    <row r="311" spans="1:9" hidden="1">
      <c r="A311" s="9" t="s">
        <v>331</v>
      </c>
      <c r="B311" s="7" t="str">
        <f>VLOOKUP(Table2[[#This Row],[CaseNumber]],WH_Data[Case Number],1,FALSE)</f>
        <v>18591628</v>
      </c>
      <c r="C311" t="s">
        <v>9</v>
      </c>
      <c r="D311" s="3">
        <v>45943.467372685183</v>
      </c>
      <c r="E311" s="4">
        <v>1</v>
      </c>
      <c r="G311" t="s">
        <v>10</v>
      </c>
      <c r="H311" t="s">
        <v>17</v>
      </c>
      <c r="I311" t="s">
        <v>30</v>
      </c>
    </row>
    <row r="312" spans="1:9" hidden="1">
      <c r="A312" s="9" t="s">
        <v>332</v>
      </c>
      <c r="B312" s="7" t="str">
        <f>VLOOKUP(Table2[[#This Row],[CaseNumber]],WH_Data[Case Number],1,FALSE)</f>
        <v>18591630</v>
      </c>
      <c r="C312" t="s">
        <v>9</v>
      </c>
      <c r="D312" s="3">
        <v>45945.375833333332</v>
      </c>
      <c r="E312" s="4">
        <v>1</v>
      </c>
      <c r="G312" t="s">
        <v>10</v>
      </c>
      <c r="H312" t="s">
        <v>17</v>
      </c>
      <c r="I312" t="s">
        <v>30</v>
      </c>
    </row>
    <row r="313" spans="1:9" hidden="1">
      <c r="A313" s="9" t="s">
        <v>333</v>
      </c>
      <c r="B313" s="7" t="str">
        <f>VLOOKUP(Table2[[#This Row],[CaseNumber]],WH_Data[Case Number],1,FALSE)</f>
        <v>18591632</v>
      </c>
      <c r="C313" t="s">
        <v>9</v>
      </c>
      <c r="D313" s="3">
        <v>45943.467106481483</v>
      </c>
      <c r="E313" s="4">
        <v>1</v>
      </c>
      <c r="G313" t="s">
        <v>10</v>
      </c>
      <c r="H313" t="s">
        <v>17</v>
      </c>
      <c r="I313" t="s">
        <v>30</v>
      </c>
    </row>
    <row r="314" spans="1:9" hidden="1">
      <c r="A314" s="9" t="s">
        <v>334</v>
      </c>
      <c r="B314" s="7" t="str">
        <f>VLOOKUP(Table2[[#This Row],[CaseNumber]],WH_Data[Case Number],1,FALSE)</f>
        <v>18594971</v>
      </c>
      <c r="C314" t="s">
        <v>9</v>
      </c>
      <c r="D314" s="3">
        <v>45945.41133101852</v>
      </c>
      <c r="E314" s="4">
        <v>1</v>
      </c>
      <c r="G314" t="s">
        <v>10</v>
      </c>
      <c r="H314" t="s">
        <v>11</v>
      </c>
      <c r="I314" t="s">
        <v>30</v>
      </c>
    </row>
    <row r="315" spans="1:9" hidden="1">
      <c r="A315" s="9" t="s">
        <v>335</v>
      </c>
      <c r="B315" s="7" t="str">
        <f>VLOOKUP(Table2[[#This Row],[CaseNumber]],WH_Data[Case Number],1,FALSE)</f>
        <v>18595215</v>
      </c>
      <c r="C315" t="s">
        <v>29</v>
      </c>
      <c r="D315" s="3">
        <v>45944.581030092595</v>
      </c>
      <c r="E315" s="4">
        <v>1</v>
      </c>
      <c r="G315" t="s">
        <v>10</v>
      </c>
      <c r="H315" t="s">
        <v>11</v>
      </c>
      <c r="I315" t="s">
        <v>30</v>
      </c>
    </row>
    <row r="316" spans="1:9" hidden="1">
      <c r="A316" s="9" t="s">
        <v>336</v>
      </c>
      <c r="B316" s="7" t="str">
        <f>VLOOKUP(Table2[[#This Row],[CaseNumber]],WH_Data[Case Number],1,FALSE)</f>
        <v>18595469</v>
      </c>
      <c r="D316" s="3">
        <v>45940.646666666667</v>
      </c>
      <c r="E316" s="4">
        <v>1</v>
      </c>
      <c r="G316" t="s">
        <v>10</v>
      </c>
      <c r="H316" t="s">
        <v>11</v>
      </c>
      <c r="I316" t="s">
        <v>30</v>
      </c>
    </row>
    <row r="317" spans="1:9" hidden="1">
      <c r="A317" s="9" t="s">
        <v>337</v>
      </c>
      <c r="B317" s="7" t="str">
        <f>VLOOKUP(Table2[[#This Row],[CaseNumber]],WH_Data[Case Number],1,FALSE)</f>
        <v>18597208</v>
      </c>
      <c r="C317" t="s">
        <v>29</v>
      </c>
      <c r="D317" s="3">
        <v>45924.635983796295</v>
      </c>
      <c r="E317" s="4">
        <v>1</v>
      </c>
      <c r="G317" t="s">
        <v>10</v>
      </c>
      <c r="H317" t="s">
        <v>19</v>
      </c>
      <c r="I317" t="s">
        <v>30</v>
      </c>
    </row>
    <row r="318" spans="1:9" hidden="1">
      <c r="A318" s="9" t="s">
        <v>338</v>
      </c>
      <c r="B318" s="7" t="str">
        <f>VLOOKUP(Table2[[#This Row],[CaseNumber]],WH_Data[Case Number],1,FALSE)</f>
        <v>18607382</v>
      </c>
      <c r="C318" t="s">
        <v>21</v>
      </c>
      <c r="D318" s="3">
        <v>45937.726215277777</v>
      </c>
      <c r="E318" s="4">
        <v>1</v>
      </c>
      <c r="G318" t="s">
        <v>10</v>
      </c>
      <c r="H318" t="s">
        <v>11</v>
      </c>
      <c r="I318" t="s">
        <v>30</v>
      </c>
    </row>
    <row r="319" spans="1:9" hidden="1">
      <c r="A319" s="9" t="s">
        <v>339</v>
      </c>
      <c r="B319" s="7" t="str">
        <f>VLOOKUP(Table2[[#This Row],[CaseNumber]],WH_Data[Case Number],1,FALSE)</f>
        <v>18608452</v>
      </c>
      <c r="C319" t="s">
        <v>21</v>
      </c>
      <c r="D319" s="3">
        <v>45939.232303240744</v>
      </c>
      <c r="E319" s="4">
        <v>1</v>
      </c>
      <c r="G319" t="s">
        <v>10</v>
      </c>
      <c r="H319" t="s">
        <v>11</v>
      </c>
      <c r="I319" t="s">
        <v>30</v>
      </c>
    </row>
    <row r="320" spans="1:9" hidden="1">
      <c r="A320" s="9" t="s">
        <v>340</v>
      </c>
      <c r="B320" s="7" t="str">
        <f>VLOOKUP(Table2[[#This Row],[CaseNumber]],WH_Data[Case Number],1,FALSE)</f>
        <v>18609329</v>
      </c>
      <c r="C320" t="s">
        <v>29</v>
      </c>
      <c r="D320" s="3">
        <v>45922.279108796298</v>
      </c>
      <c r="E320" s="4">
        <v>1</v>
      </c>
      <c r="G320" t="s">
        <v>10</v>
      </c>
      <c r="H320" t="s">
        <v>11</v>
      </c>
      <c r="I320" t="s">
        <v>30</v>
      </c>
    </row>
    <row r="321" spans="1:9" hidden="1">
      <c r="A321" s="9" t="s">
        <v>341</v>
      </c>
      <c r="B321" s="7" t="str">
        <f>VLOOKUP(Table2[[#This Row],[CaseNumber]],WH_Data[Case Number],1,FALSE)</f>
        <v>18619252</v>
      </c>
      <c r="C321" t="s">
        <v>14</v>
      </c>
      <c r="D321" s="3">
        <v>45944.317013888889</v>
      </c>
      <c r="E321" s="4">
        <v>1</v>
      </c>
      <c r="G321" t="s">
        <v>10</v>
      </c>
      <c r="H321" t="s">
        <v>11</v>
      </c>
      <c r="I321" t="s">
        <v>30</v>
      </c>
    </row>
    <row r="322" spans="1:9" hidden="1">
      <c r="A322" s="9" t="s">
        <v>342</v>
      </c>
      <c r="B322" s="7" t="str">
        <f>VLOOKUP(Table2[[#This Row],[CaseNumber]],WH_Data[Case Number],1,FALSE)</f>
        <v>18620902</v>
      </c>
      <c r="C322" t="s">
        <v>9</v>
      </c>
      <c r="D322" s="3">
        <v>45940.655381944445</v>
      </c>
      <c r="E322" s="4">
        <v>1</v>
      </c>
      <c r="G322" t="s">
        <v>10</v>
      </c>
      <c r="H322" t="s">
        <v>11</v>
      </c>
      <c r="I322" t="s">
        <v>30</v>
      </c>
    </row>
    <row r="323" spans="1:9" hidden="1">
      <c r="A323" s="9" t="s">
        <v>343</v>
      </c>
      <c r="B323" s="7" t="str">
        <f>VLOOKUP(Table2[[#This Row],[CaseNumber]],WH_Data[Case Number],1,FALSE)</f>
        <v>18628206</v>
      </c>
      <c r="C323" t="s">
        <v>14</v>
      </c>
      <c r="D323" s="3">
        <v>45958.898275462961</v>
      </c>
      <c r="E323" s="4">
        <v>1</v>
      </c>
      <c r="G323" t="s">
        <v>10</v>
      </c>
      <c r="H323" t="s">
        <v>44</v>
      </c>
      <c r="I323" t="s">
        <v>30</v>
      </c>
    </row>
    <row r="324" spans="1:9" hidden="1">
      <c r="A324" s="9" t="s">
        <v>344</v>
      </c>
      <c r="B324" s="7" t="str">
        <f>VLOOKUP(Table2[[#This Row],[CaseNumber]],WH_Data[Case Number],1,FALSE)</f>
        <v>18634517</v>
      </c>
      <c r="C324" t="s">
        <v>14</v>
      </c>
      <c r="D324" s="3">
        <v>45958.890196759261</v>
      </c>
      <c r="E324" s="4">
        <v>1</v>
      </c>
      <c r="G324" t="s">
        <v>10</v>
      </c>
      <c r="H324" t="s">
        <v>11</v>
      </c>
      <c r="I324" t="s">
        <v>30</v>
      </c>
    </row>
    <row r="325" spans="1:9" hidden="1">
      <c r="A325" s="9" t="s">
        <v>345</v>
      </c>
      <c r="B325" s="7" t="str">
        <f>VLOOKUP(Table2[[#This Row],[CaseNumber]],WH_Data[Case Number],1,FALSE)</f>
        <v>18637013</v>
      </c>
      <c r="C325" t="s">
        <v>9</v>
      </c>
      <c r="D325" s="3">
        <v>45931.539826388886</v>
      </c>
      <c r="E325" s="4">
        <v>1</v>
      </c>
      <c r="G325" t="s">
        <v>10</v>
      </c>
      <c r="H325" t="s">
        <v>19</v>
      </c>
      <c r="I325" t="s">
        <v>30</v>
      </c>
    </row>
    <row r="326" spans="1:9" hidden="1">
      <c r="A326" s="9" t="s">
        <v>346</v>
      </c>
      <c r="B326" s="7" t="str">
        <f>VLOOKUP(Table2[[#This Row],[CaseNumber]],WH_Data[Case Number],1,FALSE)</f>
        <v>18641319</v>
      </c>
      <c r="C326" t="s">
        <v>29</v>
      </c>
      <c r="D326" s="3">
        <v>45914.372094907405</v>
      </c>
      <c r="E326" s="4">
        <v>1</v>
      </c>
      <c r="G326" t="s">
        <v>10</v>
      </c>
      <c r="H326" t="s">
        <v>11</v>
      </c>
      <c r="I326" t="s">
        <v>30</v>
      </c>
    </row>
    <row r="327" spans="1:9" hidden="1">
      <c r="A327" s="9" t="s">
        <v>347</v>
      </c>
      <c r="B327" s="7" t="str">
        <f>VLOOKUP(Table2[[#This Row],[CaseNumber]],WH_Data[Case Number],1,FALSE)</f>
        <v>18645130</v>
      </c>
      <c r="C327" t="s">
        <v>23</v>
      </c>
      <c r="D327" s="3">
        <v>45958.604490740741</v>
      </c>
      <c r="E327" s="4">
        <v>1</v>
      </c>
      <c r="G327" t="s">
        <v>10</v>
      </c>
      <c r="H327" t="s">
        <v>19</v>
      </c>
      <c r="I327" t="s">
        <v>30</v>
      </c>
    </row>
    <row r="328" spans="1:9" hidden="1">
      <c r="A328" s="9" t="s">
        <v>348</v>
      </c>
      <c r="B328" s="7" t="str">
        <f>VLOOKUP(Table2[[#This Row],[CaseNumber]],WH_Data[Case Number],1,FALSE)</f>
        <v>18645950</v>
      </c>
      <c r="C328" t="s">
        <v>14</v>
      </c>
      <c r="D328" s="3">
        <v>45964.300821759258</v>
      </c>
      <c r="E328" s="4">
        <v>1</v>
      </c>
      <c r="G328" t="s">
        <v>10</v>
      </c>
      <c r="H328" t="s">
        <v>17</v>
      </c>
      <c r="I328" t="s">
        <v>30</v>
      </c>
    </row>
    <row r="329" spans="1:9" hidden="1">
      <c r="A329" s="9" t="s">
        <v>349</v>
      </c>
      <c r="B329" s="7" t="str">
        <f>VLOOKUP(Table2[[#This Row],[CaseNumber]],WH_Data[Case Number],1,FALSE)</f>
        <v>18648630</v>
      </c>
      <c r="C329" t="s">
        <v>29</v>
      </c>
      <c r="D329" s="3">
        <v>45909.243472222224</v>
      </c>
      <c r="E329" s="4">
        <v>1</v>
      </c>
      <c r="G329" t="s">
        <v>10</v>
      </c>
      <c r="H329" t="s">
        <v>17</v>
      </c>
      <c r="I329" t="s">
        <v>30</v>
      </c>
    </row>
    <row r="330" spans="1:9" hidden="1">
      <c r="A330" s="9" t="s">
        <v>350</v>
      </c>
      <c r="B330" s="7" t="str">
        <f>VLOOKUP(Table2[[#This Row],[CaseNumber]],WH_Data[Case Number],1,FALSE)</f>
        <v>18652713</v>
      </c>
      <c r="C330" t="s">
        <v>14</v>
      </c>
      <c r="D330" s="3">
        <v>45961.436400462961</v>
      </c>
      <c r="E330" s="4">
        <v>1</v>
      </c>
      <c r="G330" t="s">
        <v>10</v>
      </c>
      <c r="H330" t="s">
        <v>19</v>
      </c>
      <c r="I330" t="s">
        <v>30</v>
      </c>
    </row>
    <row r="331" spans="1:9" hidden="1">
      <c r="A331" s="9" t="s">
        <v>351</v>
      </c>
      <c r="B331" s="7" t="str">
        <f>VLOOKUP(Table2[[#This Row],[CaseNumber]],WH_Data[Case Number],1,FALSE)</f>
        <v>18662529</v>
      </c>
      <c r="C331" t="s">
        <v>21</v>
      </c>
      <c r="D331" s="3">
        <v>45937.646203703705</v>
      </c>
      <c r="E331" s="4">
        <v>1</v>
      </c>
      <c r="G331" t="s">
        <v>10</v>
      </c>
      <c r="H331" t="s">
        <v>46</v>
      </c>
      <c r="I331" t="s">
        <v>30</v>
      </c>
    </row>
    <row r="332" spans="1:9" hidden="1">
      <c r="A332" s="9" t="s">
        <v>352</v>
      </c>
      <c r="B332" s="7" t="str">
        <f>VLOOKUP(Table2[[#This Row],[CaseNumber]],WH_Data[Case Number],1,FALSE)</f>
        <v>18662919</v>
      </c>
      <c r="C332" t="s">
        <v>21</v>
      </c>
      <c r="D332" s="3">
        <v>45982.630347222221</v>
      </c>
      <c r="E332" s="4">
        <v>1</v>
      </c>
      <c r="G332" t="s">
        <v>10</v>
      </c>
      <c r="H332" t="s">
        <v>46</v>
      </c>
      <c r="I332" t="s">
        <v>30</v>
      </c>
    </row>
    <row r="333" spans="1:9" hidden="1">
      <c r="A333" s="9" t="s">
        <v>353</v>
      </c>
      <c r="B333" s="7" t="str">
        <f>VLOOKUP(Table2[[#This Row],[CaseNumber]],WH_Data[Case Number],1,FALSE)</f>
        <v>18666598</v>
      </c>
      <c r="C333" t="s">
        <v>9</v>
      </c>
      <c r="D333" s="3">
        <v>45982.628240740742</v>
      </c>
      <c r="E333" s="4">
        <v>1</v>
      </c>
      <c r="G333" t="s">
        <v>10</v>
      </c>
      <c r="H333" t="s">
        <v>46</v>
      </c>
      <c r="I333" t="s">
        <v>30</v>
      </c>
    </row>
    <row r="334" spans="1:9" hidden="1">
      <c r="A334" s="9" t="s">
        <v>354</v>
      </c>
      <c r="B334" s="7" t="str">
        <f>VLOOKUP(Table2[[#This Row],[CaseNumber]],WH_Data[Case Number],1,FALSE)</f>
        <v>18681626</v>
      </c>
      <c r="C334" t="s">
        <v>29</v>
      </c>
      <c r="D334" s="3">
        <v>45981.403460648151</v>
      </c>
      <c r="E334" s="4">
        <v>1</v>
      </c>
      <c r="G334" t="s">
        <v>10</v>
      </c>
      <c r="H334" t="s">
        <v>17</v>
      </c>
      <c r="I334" t="s">
        <v>30</v>
      </c>
    </row>
    <row r="335" spans="1:9" hidden="1">
      <c r="A335" s="9" t="s">
        <v>355</v>
      </c>
      <c r="B335" s="7" t="str">
        <f>VLOOKUP(Table2[[#This Row],[CaseNumber]],WH_Data[Case Number],1,FALSE)</f>
        <v>18683231</v>
      </c>
      <c r="C335" t="s">
        <v>9</v>
      </c>
      <c r="D335" s="3">
        <v>45954.255439814813</v>
      </c>
      <c r="E335" s="4">
        <v>1</v>
      </c>
      <c r="G335" t="s">
        <v>10</v>
      </c>
      <c r="H335" t="s">
        <v>11</v>
      </c>
      <c r="I335" t="s">
        <v>30</v>
      </c>
    </row>
    <row r="336" spans="1:9" hidden="1">
      <c r="A336" s="9" t="s">
        <v>356</v>
      </c>
      <c r="B336" s="7" t="str">
        <f>VLOOKUP(Table2[[#This Row],[CaseNumber]],WH_Data[Case Number],1,FALSE)</f>
        <v>18686523</v>
      </c>
      <c r="C336" t="s">
        <v>9</v>
      </c>
      <c r="D336" s="3">
        <v>45944.455636574072</v>
      </c>
      <c r="E336" s="4">
        <v>1</v>
      </c>
      <c r="G336" t="s">
        <v>10</v>
      </c>
      <c r="H336" t="s">
        <v>17</v>
      </c>
      <c r="I336" t="s">
        <v>30</v>
      </c>
    </row>
    <row r="337" spans="1:9" hidden="1">
      <c r="A337" s="9" t="s">
        <v>357</v>
      </c>
      <c r="B337" s="7" t="str">
        <f>VLOOKUP(Table2[[#This Row],[CaseNumber]],WH_Data[Case Number],1,FALSE)</f>
        <v>18694842</v>
      </c>
      <c r="C337" t="s">
        <v>9</v>
      </c>
      <c r="D337" s="3">
        <v>45945.42701388889</v>
      </c>
      <c r="E337" s="4">
        <v>1</v>
      </c>
      <c r="G337" t="s">
        <v>10</v>
      </c>
      <c r="H337" t="s">
        <v>17</v>
      </c>
      <c r="I337" t="s">
        <v>30</v>
      </c>
    </row>
    <row r="338" spans="1:9" hidden="1">
      <c r="A338" s="9" t="s">
        <v>358</v>
      </c>
      <c r="B338" s="7" t="str">
        <f>VLOOKUP(Table2[[#This Row],[CaseNumber]],WH_Data[Case Number],1,FALSE)</f>
        <v>18705452</v>
      </c>
      <c r="C338" t="s">
        <v>29</v>
      </c>
      <c r="D338" s="3">
        <v>45944.466203703705</v>
      </c>
      <c r="E338" s="4">
        <v>1</v>
      </c>
      <c r="G338" t="s">
        <v>10</v>
      </c>
      <c r="H338" t="s">
        <v>17</v>
      </c>
      <c r="I338" t="s">
        <v>30</v>
      </c>
    </row>
    <row r="339" spans="1:9" hidden="1">
      <c r="A339" s="9" t="s">
        <v>359</v>
      </c>
      <c r="B339" s="7" t="str">
        <f>VLOOKUP(Table2[[#This Row],[CaseNumber]],WH_Data[Case Number],1,FALSE)</f>
        <v>18705908</v>
      </c>
      <c r="C339" t="s">
        <v>9</v>
      </c>
      <c r="D339" s="3">
        <v>45938.307106481479</v>
      </c>
      <c r="E339" s="4">
        <v>1</v>
      </c>
      <c r="G339" t="s">
        <v>10</v>
      </c>
      <c r="H339" t="s">
        <v>17</v>
      </c>
      <c r="I339" t="s">
        <v>30</v>
      </c>
    </row>
    <row r="340" spans="1:9" hidden="1">
      <c r="A340" s="9" t="s">
        <v>360</v>
      </c>
      <c r="B340" s="7" t="str">
        <f>VLOOKUP(Table2[[#This Row],[CaseNumber]],WH_Data[Case Number],1,FALSE)</f>
        <v>18718331</v>
      </c>
      <c r="C340" t="s">
        <v>23</v>
      </c>
      <c r="D340" s="3">
        <v>45945.330949074072</v>
      </c>
      <c r="E340" s="4">
        <v>1</v>
      </c>
      <c r="G340" t="s">
        <v>10</v>
      </c>
      <c r="H340" t="s">
        <v>17</v>
      </c>
      <c r="I340" t="s">
        <v>30</v>
      </c>
    </row>
    <row r="341" spans="1:9" hidden="1">
      <c r="A341" s="9" t="s">
        <v>361</v>
      </c>
      <c r="B341" s="7" t="str">
        <f>VLOOKUP(Table2[[#This Row],[CaseNumber]],WH_Data[Case Number],1,FALSE)</f>
        <v>18723594</v>
      </c>
      <c r="C341" t="s">
        <v>29</v>
      </c>
      <c r="D341" s="3">
        <v>45954.764502314814</v>
      </c>
      <c r="E341" s="4">
        <v>1</v>
      </c>
      <c r="G341" t="s">
        <v>10</v>
      </c>
      <c r="H341" t="s">
        <v>11</v>
      </c>
      <c r="I341" t="s">
        <v>30</v>
      </c>
    </row>
    <row r="342" spans="1:9">
      <c r="A342" s="9" t="s">
        <v>362</v>
      </c>
      <c r="B342" s="7" t="e">
        <f>VLOOKUP(Table2[[#This Row],[CaseNumber]],WH_Data[Case Number],1,FALSE)</f>
        <v>#N/A</v>
      </c>
      <c r="C342" t="s">
        <v>9</v>
      </c>
      <c r="D342" s="3">
        <v>45988.36041666667</v>
      </c>
      <c r="E342" s="4">
        <v>1</v>
      </c>
      <c r="G342" t="s">
        <v>10</v>
      </c>
      <c r="H342" t="s">
        <v>46</v>
      </c>
      <c r="I342" t="s">
        <v>30</v>
      </c>
    </row>
    <row r="343" spans="1:9" hidden="1">
      <c r="A343" s="9" t="s">
        <v>363</v>
      </c>
      <c r="B343" s="7" t="str">
        <f>VLOOKUP(Table2[[#This Row],[CaseNumber]],WH_Data[Case Number],1,FALSE)</f>
        <v>18734078</v>
      </c>
      <c r="C343" t="s">
        <v>14</v>
      </c>
      <c r="D343" s="3">
        <v>45986.606747685182</v>
      </c>
      <c r="E343" s="4">
        <v>1</v>
      </c>
      <c r="G343" t="s">
        <v>10</v>
      </c>
      <c r="H343" t="s">
        <v>19</v>
      </c>
      <c r="I343" t="s">
        <v>30</v>
      </c>
    </row>
    <row r="344" spans="1:9" hidden="1">
      <c r="A344" s="9" t="s">
        <v>364</v>
      </c>
      <c r="B344" s="7" t="str">
        <f>VLOOKUP(Table2[[#This Row],[CaseNumber]],WH_Data[Case Number],1,FALSE)</f>
        <v>18735939</v>
      </c>
      <c r="C344" t="s">
        <v>9</v>
      </c>
      <c r="D344" s="3">
        <v>45957.324317129627</v>
      </c>
      <c r="E344" s="4">
        <v>1</v>
      </c>
      <c r="G344" t="s">
        <v>10</v>
      </c>
      <c r="H344" t="s">
        <v>17</v>
      </c>
      <c r="I344" t="s">
        <v>30</v>
      </c>
    </row>
    <row r="345" spans="1:9" hidden="1">
      <c r="A345" s="9" t="s">
        <v>365</v>
      </c>
      <c r="B345" s="7" t="str">
        <f>VLOOKUP(Table2[[#This Row],[CaseNumber]],WH_Data[Case Number],1,FALSE)</f>
        <v>18738937</v>
      </c>
      <c r="C345" t="s">
        <v>9</v>
      </c>
      <c r="D345" s="3">
        <v>45987.322384259256</v>
      </c>
      <c r="E345" s="4">
        <v>1</v>
      </c>
      <c r="G345" t="s">
        <v>10</v>
      </c>
      <c r="H345" t="s">
        <v>17</v>
      </c>
      <c r="I345" t="s">
        <v>30</v>
      </c>
    </row>
    <row r="346" spans="1:9" hidden="1">
      <c r="A346" s="9" t="s">
        <v>366</v>
      </c>
      <c r="B346" s="7" t="str">
        <f>VLOOKUP(Table2[[#This Row],[CaseNumber]],WH_Data[Case Number],1,FALSE)</f>
        <v>18738952</v>
      </c>
      <c r="C346" t="s">
        <v>9</v>
      </c>
      <c r="D346" s="3">
        <v>45987.322048611109</v>
      </c>
      <c r="E346" s="4">
        <v>1</v>
      </c>
      <c r="G346" t="s">
        <v>10</v>
      </c>
      <c r="H346" t="s">
        <v>17</v>
      </c>
      <c r="I346" t="s">
        <v>30</v>
      </c>
    </row>
    <row r="347" spans="1:9" hidden="1">
      <c r="A347" s="9" t="s">
        <v>367</v>
      </c>
      <c r="B347" s="7" t="str">
        <f>VLOOKUP(Table2[[#This Row],[CaseNumber]],WH_Data[Case Number],1,FALSE)</f>
        <v>18738962</v>
      </c>
      <c r="C347" t="s">
        <v>9</v>
      </c>
      <c r="D347" s="3">
        <v>45987.322210648148</v>
      </c>
      <c r="E347" s="4">
        <v>1</v>
      </c>
      <c r="G347" t="s">
        <v>10</v>
      </c>
      <c r="H347" t="s">
        <v>17</v>
      </c>
      <c r="I347" t="s">
        <v>30</v>
      </c>
    </row>
    <row r="348" spans="1:9" hidden="1">
      <c r="A348" s="9" t="s">
        <v>368</v>
      </c>
      <c r="B348" s="7" t="str">
        <f>VLOOKUP(Table2[[#This Row],[CaseNumber]],WH_Data[Case Number],1,FALSE)</f>
        <v>18745721</v>
      </c>
      <c r="C348" t="s">
        <v>21</v>
      </c>
      <c r="D348" s="3">
        <v>45982.6330787037</v>
      </c>
      <c r="E348" s="4">
        <v>1</v>
      </c>
      <c r="G348" t="s">
        <v>10</v>
      </c>
      <c r="H348" t="s">
        <v>46</v>
      </c>
      <c r="I348" t="s">
        <v>30</v>
      </c>
    </row>
    <row r="349" spans="1:9" hidden="1">
      <c r="A349" s="9" t="s">
        <v>369</v>
      </c>
      <c r="B349" s="7" t="str">
        <f>VLOOKUP(Table2[[#This Row],[CaseNumber]],WH_Data[Case Number],1,FALSE)</f>
        <v>18745843</v>
      </c>
      <c r="C349" t="s">
        <v>21</v>
      </c>
      <c r="D349" s="3">
        <v>45982.637696759259</v>
      </c>
      <c r="E349" s="4">
        <v>1</v>
      </c>
      <c r="G349" t="s">
        <v>10</v>
      </c>
      <c r="H349" t="s">
        <v>46</v>
      </c>
      <c r="I349" t="s">
        <v>30</v>
      </c>
    </row>
    <row r="350" spans="1:9" hidden="1">
      <c r="A350" s="9" t="s">
        <v>370</v>
      </c>
      <c r="B350" s="7" t="str">
        <f>VLOOKUP(Table2[[#This Row],[CaseNumber]],WH_Data[Case Number],1,FALSE)</f>
        <v>18745880</v>
      </c>
      <c r="C350" t="s">
        <v>9</v>
      </c>
      <c r="D350" s="3">
        <v>45982.636504629627</v>
      </c>
      <c r="E350" s="4">
        <v>1</v>
      </c>
      <c r="G350" t="s">
        <v>10</v>
      </c>
      <c r="H350" t="s">
        <v>46</v>
      </c>
      <c r="I350" t="s">
        <v>30</v>
      </c>
    </row>
    <row r="351" spans="1:9" hidden="1">
      <c r="A351" s="9" t="s">
        <v>371</v>
      </c>
      <c r="B351" s="7" t="str">
        <f>VLOOKUP(Table2[[#This Row],[CaseNumber]],WH_Data[Case Number],1,FALSE)</f>
        <v>18745926</v>
      </c>
      <c r="C351" t="s">
        <v>9</v>
      </c>
      <c r="D351" s="3">
        <v>45982.638680555552</v>
      </c>
      <c r="E351" s="4">
        <v>1</v>
      </c>
      <c r="G351" t="s">
        <v>10</v>
      </c>
      <c r="H351" t="s">
        <v>46</v>
      </c>
      <c r="I351" t="s">
        <v>30</v>
      </c>
    </row>
    <row r="352" spans="1:9" hidden="1">
      <c r="A352" s="9" t="s">
        <v>372</v>
      </c>
      <c r="B352" s="7" t="str">
        <f>VLOOKUP(Table2[[#This Row],[CaseNumber]],WH_Data[Case Number],1,FALSE)</f>
        <v>18748092</v>
      </c>
      <c r="C352" t="s">
        <v>29</v>
      </c>
      <c r="D352" s="3">
        <v>45982.607199074075</v>
      </c>
      <c r="E352" s="4">
        <v>1</v>
      </c>
      <c r="G352" t="s">
        <v>10</v>
      </c>
      <c r="H352" t="s">
        <v>15</v>
      </c>
      <c r="I352" t="s">
        <v>30</v>
      </c>
    </row>
    <row r="353" spans="1:9" hidden="1">
      <c r="A353" s="9" t="s">
        <v>373</v>
      </c>
      <c r="B353" s="7" t="str">
        <f>VLOOKUP(Table2[[#This Row],[CaseNumber]],WH_Data[Case Number],1,FALSE)</f>
        <v>18767759</v>
      </c>
      <c r="C353" t="s">
        <v>14</v>
      </c>
      <c r="D353" s="3">
        <v>45965.589618055557</v>
      </c>
      <c r="E353" s="4">
        <v>1</v>
      </c>
      <c r="G353" t="s">
        <v>10</v>
      </c>
      <c r="H353" t="s">
        <v>46</v>
      </c>
      <c r="I353" t="s">
        <v>30</v>
      </c>
    </row>
    <row r="354" spans="1:9" hidden="1">
      <c r="A354" s="9" t="s">
        <v>374</v>
      </c>
      <c r="B354" s="7" t="str">
        <f>VLOOKUP(Table2[[#This Row],[CaseNumber]],WH_Data[Case Number],1,FALSE)</f>
        <v>18773579</v>
      </c>
      <c r="C354" t="s">
        <v>9</v>
      </c>
      <c r="D354" s="3">
        <v>45967.409502314818</v>
      </c>
      <c r="E354" s="4">
        <v>1</v>
      </c>
      <c r="G354" t="s">
        <v>10</v>
      </c>
      <c r="H354" t="s">
        <v>17</v>
      </c>
      <c r="I354" t="s">
        <v>30</v>
      </c>
    </row>
    <row r="355" spans="1:9" hidden="1">
      <c r="A355" s="9" t="s">
        <v>375</v>
      </c>
      <c r="B355" s="7" t="str">
        <f>VLOOKUP(Table2[[#This Row],[CaseNumber]],WH_Data[Case Number],1,FALSE)</f>
        <v>18774184</v>
      </c>
      <c r="C355" t="s">
        <v>29</v>
      </c>
      <c r="D355" s="3">
        <v>45967.387199074074</v>
      </c>
      <c r="E355" s="4">
        <v>1</v>
      </c>
      <c r="G355" t="s">
        <v>10</v>
      </c>
      <c r="H355" t="s">
        <v>11</v>
      </c>
      <c r="I355" t="s">
        <v>30</v>
      </c>
    </row>
    <row r="356" spans="1:9" hidden="1">
      <c r="A356" s="9" t="s">
        <v>376</v>
      </c>
      <c r="B356" s="7" t="str">
        <f>VLOOKUP(Table2[[#This Row],[CaseNumber]],WH_Data[Case Number],1,FALSE)</f>
        <v>18775291</v>
      </c>
      <c r="C356" t="s">
        <v>21</v>
      </c>
      <c r="D356" s="3">
        <v>45953.471226851849</v>
      </c>
      <c r="E356" s="4">
        <v>1</v>
      </c>
      <c r="G356" t="s">
        <v>10</v>
      </c>
      <c r="H356" t="s">
        <v>11</v>
      </c>
      <c r="I356" t="s">
        <v>30</v>
      </c>
    </row>
    <row r="357" spans="1:9" hidden="1">
      <c r="A357" s="9" t="s">
        <v>377</v>
      </c>
      <c r="B357" s="7" t="str">
        <f>VLOOKUP(Table2[[#This Row],[CaseNumber]],WH_Data[Case Number],1,FALSE)</f>
        <v>18781846</v>
      </c>
      <c r="C357" t="s">
        <v>9</v>
      </c>
      <c r="D357" s="3">
        <v>45981.616388888891</v>
      </c>
      <c r="E357" s="4">
        <v>1</v>
      </c>
      <c r="G357" t="s">
        <v>10</v>
      </c>
      <c r="H357" t="s">
        <v>11</v>
      </c>
      <c r="I357" t="s">
        <v>30</v>
      </c>
    </row>
    <row r="358" spans="1:9" hidden="1">
      <c r="A358" s="9" t="s">
        <v>378</v>
      </c>
      <c r="B358" s="7" t="str">
        <f>VLOOKUP(Table2[[#This Row],[CaseNumber]],WH_Data[Case Number],1,FALSE)</f>
        <v>18793091</v>
      </c>
      <c r="C358" t="s">
        <v>29</v>
      </c>
      <c r="D358" s="3">
        <v>45964.32298611111</v>
      </c>
      <c r="E358" s="4">
        <v>1</v>
      </c>
      <c r="G358" t="s">
        <v>10</v>
      </c>
      <c r="H358" t="s">
        <v>11</v>
      </c>
      <c r="I358" t="s">
        <v>30</v>
      </c>
    </row>
    <row r="359" spans="1:9" hidden="1">
      <c r="A359" s="9" t="s">
        <v>379</v>
      </c>
      <c r="B359" s="7" t="str">
        <f>VLOOKUP(Table2[[#This Row],[CaseNumber]],WH_Data[Case Number],1,FALSE)</f>
        <v>18806902</v>
      </c>
      <c r="C359" t="s">
        <v>29</v>
      </c>
      <c r="D359" s="3">
        <v>45986.661192129628</v>
      </c>
      <c r="E359" s="4">
        <v>1</v>
      </c>
      <c r="G359" t="s">
        <v>10</v>
      </c>
      <c r="H359" t="s">
        <v>11</v>
      </c>
      <c r="I359" t="s">
        <v>30</v>
      </c>
    </row>
    <row r="360" spans="1:9" hidden="1">
      <c r="A360" s="9" t="s">
        <v>380</v>
      </c>
      <c r="B360" s="7" t="str">
        <f>VLOOKUP(Table2[[#This Row],[CaseNumber]],WH_Data[Case Number],1,FALSE)</f>
        <v>18811840</v>
      </c>
      <c r="C360" t="s">
        <v>29</v>
      </c>
      <c r="D360" s="3">
        <v>45971.462789351855</v>
      </c>
      <c r="E360" s="4">
        <v>1</v>
      </c>
      <c r="G360" t="s">
        <v>10</v>
      </c>
      <c r="H360" t="s">
        <v>19</v>
      </c>
      <c r="I360" t="s">
        <v>30</v>
      </c>
    </row>
    <row r="361" spans="1:9" hidden="1">
      <c r="A361" s="9" t="s">
        <v>381</v>
      </c>
      <c r="B361" s="7" t="str">
        <f>VLOOKUP(Table2[[#This Row],[CaseNumber]],WH_Data[Case Number],1,FALSE)</f>
        <v>18816439</v>
      </c>
      <c r="C361" t="s">
        <v>9</v>
      </c>
      <c r="D361" s="3">
        <v>45987.429502314815</v>
      </c>
      <c r="E361" s="4">
        <v>1</v>
      </c>
      <c r="G361" t="s">
        <v>10</v>
      </c>
      <c r="H361" t="s">
        <v>46</v>
      </c>
      <c r="I361" t="s">
        <v>30</v>
      </c>
    </row>
    <row r="362" spans="1:9" hidden="1">
      <c r="A362" s="9" t="s">
        <v>382</v>
      </c>
      <c r="B362" s="7" t="str">
        <f>VLOOKUP(Table2[[#This Row],[CaseNumber]],WH_Data[Case Number],1,FALSE)</f>
        <v>18816558</v>
      </c>
      <c r="C362" t="s">
        <v>9</v>
      </c>
      <c r="D362" s="3">
        <v>45987.33284722222</v>
      </c>
      <c r="E362" s="4">
        <v>1</v>
      </c>
      <c r="G362" t="s">
        <v>10</v>
      </c>
      <c r="H362" t="s">
        <v>46</v>
      </c>
      <c r="I362" t="s">
        <v>30</v>
      </c>
    </row>
    <row r="363" spans="1:9" hidden="1">
      <c r="A363" s="9" t="s">
        <v>383</v>
      </c>
      <c r="B363" s="7" t="str">
        <f>VLOOKUP(Table2[[#This Row],[CaseNumber]],WH_Data[Case Number],1,FALSE)</f>
        <v>18816716</v>
      </c>
      <c r="C363" t="s">
        <v>9</v>
      </c>
      <c r="D363" s="3">
        <v>45987.339189814818</v>
      </c>
      <c r="E363" s="4">
        <v>1</v>
      </c>
      <c r="G363" t="s">
        <v>10</v>
      </c>
      <c r="H363" t="s">
        <v>46</v>
      </c>
      <c r="I363" t="s">
        <v>30</v>
      </c>
    </row>
    <row r="364" spans="1:9" hidden="1">
      <c r="A364" s="9" t="s">
        <v>384</v>
      </c>
      <c r="B364" s="7" t="str">
        <f>VLOOKUP(Table2[[#This Row],[CaseNumber]],WH_Data[Case Number],1,FALSE)</f>
        <v>18818924</v>
      </c>
      <c r="C364" t="s">
        <v>29</v>
      </c>
      <c r="D364" s="3">
        <v>45982.641562500001</v>
      </c>
      <c r="E364" s="4">
        <v>1</v>
      </c>
      <c r="G364" t="s">
        <v>10</v>
      </c>
      <c r="H364" t="s">
        <v>46</v>
      </c>
      <c r="I364" t="s">
        <v>30</v>
      </c>
    </row>
    <row r="365" spans="1:9" hidden="1">
      <c r="A365" s="9" t="s">
        <v>385</v>
      </c>
      <c r="B365" s="7" t="str">
        <f>VLOOKUP(Table2[[#This Row],[CaseNumber]],WH_Data[Case Number],1,FALSE)</f>
        <v>18819055</v>
      </c>
      <c r="C365" t="s">
        <v>9</v>
      </c>
      <c r="D365" s="3">
        <v>45982.640335648146</v>
      </c>
      <c r="E365" s="4">
        <v>1</v>
      </c>
      <c r="G365" t="s">
        <v>10</v>
      </c>
      <c r="H365" t="s">
        <v>46</v>
      </c>
      <c r="I365" t="s">
        <v>30</v>
      </c>
    </row>
    <row r="366" spans="1:9" hidden="1">
      <c r="A366" s="9" t="s">
        <v>386</v>
      </c>
      <c r="B366" s="7" t="str">
        <f>VLOOKUP(Table2[[#This Row],[CaseNumber]],WH_Data[Case Number],1,FALSE)</f>
        <v>18819927</v>
      </c>
      <c r="C366" t="s">
        <v>9</v>
      </c>
      <c r="D366" s="3">
        <v>45987.346076388887</v>
      </c>
      <c r="E366" s="4">
        <v>1</v>
      </c>
      <c r="G366" t="s">
        <v>10</v>
      </c>
      <c r="H366" t="s">
        <v>46</v>
      </c>
      <c r="I366" t="s">
        <v>30</v>
      </c>
    </row>
    <row r="367" spans="1:9" hidden="1">
      <c r="A367" s="9" t="s">
        <v>387</v>
      </c>
      <c r="B367" s="7" t="str">
        <f>VLOOKUP(Table2[[#This Row],[CaseNumber]],WH_Data[Case Number],1,FALSE)</f>
        <v>18825512</v>
      </c>
      <c r="C367" t="s">
        <v>21</v>
      </c>
      <c r="D367" s="3">
        <v>45965.67732638889</v>
      </c>
      <c r="E367" s="4">
        <v>1</v>
      </c>
      <c r="G367" t="s">
        <v>10</v>
      </c>
      <c r="H367" t="s">
        <v>11</v>
      </c>
      <c r="I367" t="s">
        <v>30</v>
      </c>
    </row>
    <row r="368" spans="1:9" hidden="1">
      <c r="A368" s="9" t="s">
        <v>388</v>
      </c>
      <c r="B368" s="7" t="str">
        <f>VLOOKUP(Table2[[#This Row],[CaseNumber]],WH_Data[Case Number],1,FALSE)</f>
        <v>18830674</v>
      </c>
      <c r="C368" t="s">
        <v>21</v>
      </c>
      <c r="D368" s="3">
        <v>45952.337465277778</v>
      </c>
      <c r="E368" s="4">
        <v>1</v>
      </c>
      <c r="G368" t="s">
        <v>10</v>
      </c>
      <c r="H368" t="s">
        <v>11</v>
      </c>
      <c r="I368" t="s">
        <v>30</v>
      </c>
    </row>
    <row r="369" spans="1:9" hidden="1">
      <c r="A369" s="9" t="s">
        <v>389</v>
      </c>
      <c r="B369" s="7" t="str">
        <f>VLOOKUP(Table2[[#This Row],[CaseNumber]],WH_Data[Case Number],1,FALSE)</f>
        <v>18842617</v>
      </c>
      <c r="C369" t="s">
        <v>21</v>
      </c>
      <c r="D369" s="3">
        <v>45964.309224537035</v>
      </c>
      <c r="E369" s="4">
        <v>1</v>
      </c>
      <c r="G369" t="s">
        <v>10</v>
      </c>
      <c r="H369" t="s">
        <v>19</v>
      </c>
      <c r="I369" t="s">
        <v>30</v>
      </c>
    </row>
    <row r="370" spans="1:9" hidden="1">
      <c r="A370" s="9" t="s">
        <v>390</v>
      </c>
      <c r="B370" s="7" t="str">
        <f>VLOOKUP(Table2[[#This Row],[CaseNumber]],WH_Data[Case Number],1,FALSE)</f>
        <v>18867849</v>
      </c>
      <c r="C370" t="s">
        <v>9</v>
      </c>
      <c r="D370" s="3">
        <v>45982.64340277778</v>
      </c>
      <c r="E370" s="4">
        <v>1</v>
      </c>
      <c r="G370" t="s">
        <v>10</v>
      </c>
      <c r="H370" t="s">
        <v>46</v>
      </c>
      <c r="I370" t="s">
        <v>30</v>
      </c>
    </row>
    <row r="371" spans="1:9" hidden="1">
      <c r="A371" s="9" t="s">
        <v>391</v>
      </c>
      <c r="B371" s="7" t="str">
        <f>VLOOKUP(Table2[[#This Row],[CaseNumber]],WH_Data[Case Number],1,FALSE)</f>
        <v>18868054</v>
      </c>
      <c r="C371" t="s">
        <v>9</v>
      </c>
      <c r="D371" s="3">
        <v>45979.45034722222</v>
      </c>
      <c r="E371" s="4">
        <v>1</v>
      </c>
      <c r="G371" t="s">
        <v>10</v>
      </c>
      <c r="H371" t="s">
        <v>11</v>
      </c>
      <c r="I371" t="s">
        <v>30</v>
      </c>
    </row>
    <row r="372" spans="1:9" hidden="1">
      <c r="A372" s="9" t="s">
        <v>392</v>
      </c>
      <c r="B372" s="7" t="str">
        <f>VLOOKUP(Table2[[#This Row],[CaseNumber]],WH_Data[Case Number],1,FALSE)</f>
        <v>18870876</v>
      </c>
      <c r="C372" t="s">
        <v>9</v>
      </c>
      <c r="D372" s="3">
        <v>45987.361111111109</v>
      </c>
      <c r="E372" s="4">
        <v>1</v>
      </c>
      <c r="G372" t="s">
        <v>10</v>
      </c>
      <c r="H372" t="s">
        <v>46</v>
      </c>
      <c r="I372" t="s">
        <v>30</v>
      </c>
    </row>
    <row r="373" spans="1:9" hidden="1">
      <c r="A373" s="9" t="s">
        <v>393</v>
      </c>
      <c r="B373" s="7" t="str">
        <f>VLOOKUP(Table2[[#This Row],[CaseNumber]],WH_Data[Case Number],1,FALSE)</f>
        <v>18900508</v>
      </c>
      <c r="C373" t="s">
        <v>29</v>
      </c>
      <c r="D373" s="3">
        <v>45986.620335648149</v>
      </c>
      <c r="E373" s="4">
        <v>1</v>
      </c>
      <c r="G373" t="s">
        <v>10</v>
      </c>
      <c r="H373" t="s">
        <v>19</v>
      </c>
      <c r="I373" t="s">
        <v>30</v>
      </c>
    </row>
    <row r="374" spans="1:9">
      <c r="A374" s="11" t="s">
        <v>394</v>
      </c>
      <c r="B374" s="7" t="e">
        <f>VLOOKUP(Table2[[#This Row],[CaseNumber]],WH_Data[Case Number],1,FALSE)</f>
        <v>#N/A</v>
      </c>
      <c r="C374" s="1"/>
      <c r="D374" s="5"/>
      <c r="E374" s="6">
        <v>0.83602150537634412</v>
      </c>
      <c r="F374" s="1"/>
      <c r="G374" s="1"/>
      <c r="H374" s="1"/>
      <c r="I374" s="1"/>
    </row>
    <row r="376" spans="1:9">
      <c r="A376" s="9" t="s">
        <v>395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E27A-FB9E-495E-97B3-F8E9998EC839}">
  <dimension ref="A1:N377"/>
  <sheetViews>
    <sheetView tabSelected="1" topLeftCell="D1" workbookViewId="0">
      <selection activeCell="D164" sqref="D164"/>
    </sheetView>
  </sheetViews>
  <sheetFormatPr defaultRowHeight="14.5"/>
  <cols>
    <col min="1" max="1" width="14.36328125" style="9" bestFit="1" customWidth="1"/>
    <col min="2" max="2" width="11.6328125" bestFit="1" customWidth="1"/>
    <col min="3" max="3" width="21.453125" bestFit="1" customWidth="1"/>
    <col min="4" max="4" width="33.1796875" bestFit="1" customWidth="1"/>
    <col min="5" max="5" width="27.81640625" bestFit="1" customWidth="1"/>
    <col min="6" max="6" width="30.36328125" bestFit="1" customWidth="1"/>
    <col min="7" max="7" width="15.08984375" bestFit="1" customWidth="1"/>
    <col min="8" max="8" width="46.90625" bestFit="1" customWidth="1"/>
    <col min="9" max="9" width="47.1796875" bestFit="1" customWidth="1"/>
    <col min="10" max="10" width="22.08984375" bestFit="1" customWidth="1"/>
    <col min="11" max="11" width="20.08984375" bestFit="1" customWidth="1"/>
    <col min="12" max="12" width="13.6328125" bestFit="1" customWidth="1"/>
    <col min="13" max="13" width="28" bestFit="1" customWidth="1"/>
  </cols>
  <sheetData>
    <row r="1" spans="1:14">
      <c r="A1" s="9" t="s">
        <v>396</v>
      </c>
      <c r="B1" t="s">
        <v>1040</v>
      </c>
      <c r="C1" t="s">
        <v>397</v>
      </c>
      <c r="D1" t="s">
        <v>398</v>
      </c>
      <c r="E1" t="s">
        <v>399</v>
      </c>
      <c r="F1" t="s">
        <v>400</v>
      </c>
      <c r="G1" t="s">
        <v>401</v>
      </c>
      <c r="H1" t="s">
        <v>402</v>
      </c>
      <c r="I1" t="s">
        <v>403</v>
      </c>
      <c r="J1" t="s">
        <v>404</v>
      </c>
      <c r="K1" t="s">
        <v>7</v>
      </c>
      <c r="L1" t="s">
        <v>405</v>
      </c>
      <c r="M1" t="s">
        <v>406</v>
      </c>
      <c r="N1" t="s">
        <v>1039</v>
      </c>
    </row>
    <row r="2" spans="1:14" hidden="1">
      <c r="A2" s="9" t="s">
        <v>28</v>
      </c>
      <c r="B2" t="str">
        <f>VLOOKUP(WH_Data[[#This Row],[Case Number]],Table2[],1,FALSE)</f>
        <v>15757133</v>
      </c>
      <c r="C2" s="7" t="s">
        <v>407</v>
      </c>
      <c r="D2" s="7" t="s">
        <v>408</v>
      </c>
      <c r="E2" s="7" t="s">
        <v>409</v>
      </c>
      <c r="F2" s="7" t="s">
        <v>17</v>
      </c>
      <c r="G2" s="8">
        <v>45687.629502314812</v>
      </c>
      <c r="H2" s="7" t="s">
        <v>410</v>
      </c>
      <c r="I2" s="7" t="s">
        <v>411</v>
      </c>
      <c r="J2">
        <v>322</v>
      </c>
      <c r="K2" s="7" t="s">
        <v>30</v>
      </c>
      <c r="L2" s="7" t="s">
        <v>412</v>
      </c>
      <c r="M2" s="7" t="s">
        <v>413</v>
      </c>
      <c r="N2" s="7" t="b">
        <f>ISNUMBER(WH_Data[[#This Row],[Case Number]])</f>
        <v>0</v>
      </c>
    </row>
    <row r="3" spans="1:14" hidden="1">
      <c r="A3" s="9" t="s">
        <v>31</v>
      </c>
      <c r="B3" t="str">
        <f>VLOOKUP(WH_Data[[#This Row],[Case Number]],Table2[[CaseNumber]:[Region__c]],1,FALSE)</f>
        <v>15777747</v>
      </c>
      <c r="C3" s="7" t="s">
        <v>414</v>
      </c>
      <c r="D3" s="7" t="s">
        <v>408</v>
      </c>
      <c r="E3" s="7" t="s">
        <v>415</v>
      </c>
      <c r="F3" s="7" t="s">
        <v>17</v>
      </c>
      <c r="G3" s="8">
        <v>45722.350104166668</v>
      </c>
      <c r="H3" s="7" t="s">
        <v>410</v>
      </c>
      <c r="I3" s="7" t="s">
        <v>416</v>
      </c>
      <c r="J3">
        <v>357</v>
      </c>
      <c r="K3" s="7" t="s">
        <v>30</v>
      </c>
      <c r="L3" s="7" t="s">
        <v>412</v>
      </c>
      <c r="M3" s="7" t="s">
        <v>413</v>
      </c>
      <c r="N3" s="7"/>
    </row>
    <row r="4" spans="1:14" hidden="1">
      <c r="A4" s="9" t="s">
        <v>8</v>
      </c>
      <c r="B4" t="str">
        <f>VLOOKUP(WH_Data[[#This Row],[Case Number]],Table2[[CaseNumber]:[Region__c]],1,FALSE)</f>
        <v>16418233</v>
      </c>
      <c r="C4" s="7" t="s">
        <v>417</v>
      </c>
      <c r="D4" s="7" t="s">
        <v>418</v>
      </c>
      <c r="E4" s="7" t="s">
        <v>419</v>
      </c>
      <c r="F4" s="7" t="s">
        <v>11</v>
      </c>
      <c r="G4" s="8">
        <v>45737.578750000001</v>
      </c>
      <c r="H4" s="7" t="s">
        <v>420</v>
      </c>
      <c r="I4" s="7" t="s">
        <v>421</v>
      </c>
      <c r="J4">
        <v>466</v>
      </c>
      <c r="K4" s="7" t="s">
        <v>12</v>
      </c>
      <c r="L4" s="7" t="s">
        <v>412</v>
      </c>
      <c r="M4" s="7" t="s">
        <v>413</v>
      </c>
      <c r="N4" s="7"/>
    </row>
    <row r="5" spans="1:14" hidden="1">
      <c r="A5" s="9" t="s">
        <v>32</v>
      </c>
      <c r="B5" t="str">
        <f>VLOOKUP(WH_Data[[#This Row],[Case Number]],Table2[[CaseNumber]:[Region__c]],1,FALSE)</f>
        <v>16475546</v>
      </c>
      <c r="C5" s="7" t="s">
        <v>422</v>
      </c>
      <c r="D5" s="7" t="s">
        <v>423</v>
      </c>
      <c r="E5" s="7" t="s">
        <v>424</v>
      </c>
      <c r="F5" s="7" t="s">
        <v>19</v>
      </c>
      <c r="G5" s="8">
        <v>45729.736817129633</v>
      </c>
      <c r="H5" s="7" t="s">
        <v>410</v>
      </c>
      <c r="I5" s="7" t="s">
        <v>425</v>
      </c>
      <c r="J5">
        <v>15</v>
      </c>
      <c r="K5" s="7" t="s">
        <v>30</v>
      </c>
      <c r="L5" s="7" t="s">
        <v>412</v>
      </c>
      <c r="M5" s="7" t="s">
        <v>413</v>
      </c>
      <c r="N5" s="7"/>
    </row>
    <row r="6" spans="1:14" hidden="1">
      <c r="A6" s="9" t="s">
        <v>33</v>
      </c>
      <c r="B6" t="str">
        <f>VLOOKUP(WH_Data[[#This Row],[Case Number]],Table2[[CaseNumber]:[Region__c]],1,FALSE)</f>
        <v>16675332</v>
      </c>
      <c r="C6" s="7" t="s">
        <v>407</v>
      </c>
      <c r="D6" s="7" t="s">
        <v>426</v>
      </c>
      <c r="E6" s="7" t="s">
        <v>427</v>
      </c>
      <c r="F6" s="7" t="s">
        <v>11</v>
      </c>
      <c r="G6" s="8">
        <v>45702.668437499997</v>
      </c>
      <c r="H6" s="7" t="s">
        <v>428</v>
      </c>
      <c r="I6" s="7" t="s">
        <v>429</v>
      </c>
      <c r="J6">
        <v>226</v>
      </c>
      <c r="K6" s="7" t="s">
        <v>30</v>
      </c>
      <c r="L6" s="7" t="s">
        <v>412</v>
      </c>
      <c r="M6" s="7" t="s">
        <v>413</v>
      </c>
      <c r="N6" s="7"/>
    </row>
    <row r="7" spans="1:14" hidden="1">
      <c r="A7" s="9" t="s">
        <v>34</v>
      </c>
      <c r="B7" t="str">
        <f>VLOOKUP(WH_Data[[#This Row],[Case Number]],Table2[[CaseNumber]:[Region__c]],1,FALSE)</f>
        <v>16781935</v>
      </c>
      <c r="C7" s="7" t="s">
        <v>422</v>
      </c>
      <c r="D7" s="7" t="s">
        <v>430</v>
      </c>
      <c r="E7" s="7" t="s">
        <v>424</v>
      </c>
      <c r="F7" s="7" t="s">
        <v>19</v>
      </c>
      <c r="G7" s="8">
        <v>45729.447662037041</v>
      </c>
      <c r="H7" s="7" t="s">
        <v>410</v>
      </c>
      <c r="I7" s="7" t="s">
        <v>431</v>
      </c>
      <c r="J7">
        <v>14</v>
      </c>
      <c r="K7" s="7" t="s">
        <v>30</v>
      </c>
      <c r="L7" s="7" t="s">
        <v>412</v>
      </c>
      <c r="M7" s="7" t="s">
        <v>413</v>
      </c>
      <c r="N7" s="7"/>
    </row>
    <row r="8" spans="1:14" hidden="1">
      <c r="A8" s="9" t="s">
        <v>35</v>
      </c>
      <c r="B8" t="str">
        <f>VLOOKUP(WH_Data[[#This Row],[Case Number]],Table2[[CaseNumber]:[Region__c]],1,FALSE)</f>
        <v>16851147</v>
      </c>
      <c r="C8" s="7" t="s">
        <v>422</v>
      </c>
      <c r="D8" s="7" t="s">
        <v>432</v>
      </c>
      <c r="E8" s="7" t="s">
        <v>433</v>
      </c>
      <c r="F8" s="7" t="s">
        <v>17</v>
      </c>
      <c r="G8" s="8">
        <v>45733.799780092595</v>
      </c>
      <c r="H8" s="7" t="s">
        <v>410</v>
      </c>
      <c r="I8" s="7" t="s">
        <v>434</v>
      </c>
      <c r="J8">
        <v>14</v>
      </c>
      <c r="K8" s="7" t="s">
        <v>30</v>
      </c>
      <c r="L8" s="7" t="s">
        <v>412</v>
      </c>
      <c r="M8" s="7" t="s">
        <v>413</v>
      </c>
      <c r="N8" s="7"/>
    </row>
    <row r="9" spans="1:14" hidden="1">
      <c r="A9" s="9" t="s">
        <v>36</v>
      </c>
      <c r="B9" t="str">
        <f>VLOOKUP(WH_Data[[#This Row],[Case Number]],Table2[[CaseNumber]:[Region__c]],1,FALSE)</f>
        <v>16903015</v>
      </c>
      <c r="C9" s="7" t="s">
        <v>414</v>
      </c>
      <c r="D9" s="7" t="s">
        <v>435</v>
      </c>
      <c r="E9" s="7" t="s">
        <v>436</v>
      </c>
      <c r="F9" s="7" t="s">
        <v>17</v>
      </c>
      <c r="G9" s="8">
        <v>45810.392905092594</v>
      </c>
      <c r="H9" s="7" t="s">
        <v>437</v>
      </c>
      <c r="I9" s="7" t="s">
        <v>438</v>
      </c>
      <c r="J9">
        <v>6</v>
      </c>
      <c r="K9" s="7" t="s">
        <v>30</v>
      </c>
      <c r="L9" s="7" t="s">
        <v>412</v>
      </c>
      <c r="M9" s="7" t="s">
        <v>413</v>
      </c>
      <c r="N9" s="7"/>
    </row>
    <row r="10" spans="1:14" hidden="1">
      <c r="A10" s="9" t="s">
        <v>37</v>
      </c>
      <c r="B10" t="str">
        <f>VLOOKUP(WH_Data[[#This Row],[Case Number]],Table2[[CaseNumber]:[Region__c]],1,FALSE)</f>
        <v>17077696</v>
      </c>
      <c r="C10" s="7" t="s">
        <v>422</v>
      </c>
      <c r="D10" s="7" t="s">
        <v>439</v>
      </c>
      <c r="E10" s="7" t="s">
        <v>440</v>
      </c>
      <c r="F10" s="7" t="s">
        <v>11</v>
      </c>
      <c r="G10" s="8">
        <v>45741.906585648147</v>
      </c>
      <c r="H10" s="7" t="s">
        <v>410</v>
      </c>
      <c r="I10" s="7" t="s">
        <v>441</v>
      </c>
      <c r="J10">
        <v>64</v>
      </c>
      <c r="K10" s="7" t="s">
        <v>30</v>
      </c>
      <c r="L10" s="7" t="s">
        <v>412</v>
      </c>
      <c r="M10" s="7" t="s">
        <v>413</v>
      </c>
      <c r="N10" s="7"/>
    </row>
    <row r="11" spans="1:14" hidden="1">
      <c r="A11" s="9" t="s">
        <v>38</v>
      </c>
      <c r="B11" t="str">
        <f>VLOOKUP(WH_Data[[#This Row],[Case Number]],Table2[[CaseNumber]:[Region__c]],1,FALSE)</f>
        <v>17091255</v>
      </c>
      <c r="C11" s="7" t="s">
        <v>422</v>
      </c>
      <c r="D11" s="7" t="s">
        <v>442</v>
      </c>
      <c r="E11" s="7" t="s">
        <v>443</v>
      </c>
      <c r="F11" s="7" t="s">
        <v>15</v>
      </c>
      <c r="G11" s="8">
        <v>45807.733680555553</v>
      </c>
      <c r="H11" s="7" t="s">
        <v>410</v>
      </c>
      <c r="I11" s="7" t="s">
        <v>444</v>
      </c>
      <c r="J11">
        <v>331</v>
      </c>
      <c r="K11" s="7" t="s">
        <v>30</v>
      </c>
      <c r="L11" s="7" t="s">
        <v>412</v>
      </c>
      <c r="M11" s="7" t="s">
        <v>413</v>
      </c>
      <c r="N11" s="7"/>
    </row>
    <row r="12" spans="1:14" hidden="1">
      <c r="A12" s="9" t="s">
        <v>39</v>
      </c>
      <c r="B12" t="str">
        <f>VLOOKUP(WH_Data[[#This Row],[Case Number]],Table2[[CaseNumber]:[Region__c]],1,FALSE)</f>
        <v>17164226</v>
      </c>
      <c r="C12" s="7" t="s">
        <v>414</v>
      </c>
      <c r="D12" s="7" t="s">
        <v>445</v>
      </c>
      <c r="E12" s="7" t="s">
        <v>446</v>
      </c>
      <c r="F12" s="7" t="s">
        <v>11</v>
      </c>
      <c r="G12" s="8">
        <v>45755.309918981482</v>
      </c>
      <c r="H12" s="7" t="s">
        <v>410</v>
      </c>
      <c r="I12" s="7" t="s">
        <v>447</v>
      </c>
      <c r="J12">
        <v>8</v>
      </c>
      <c r="K12" s="7" t="s">
        <v>30</v>
      </c>
      <c r="L12" s="7" t="s">
        <v>412</v>
      </c>
      <c r="M12" s="7" t="s">
        <v>413</v>
      </c>
      <c r="N12" s="7"/>
    </row>
    <row r="13" spans="1:14" hidden="1">
      <c r="A13" s="9" t="s">
        <v>40</v>
      </c>
      <c r="B13" t="str">
        <f>VLOOKUP(WH_Data[[#This Row],[Case Number]],Table2[[CaseNumber]:[Region__c]],1,FALSE)</f>
        <v>17183325</v>
      </c>
      <c r="C13" s="7" t="s">
        <v>414</v>
      </c>
      <c r="D13" s="7" t="s">
        <v>435</v>
      </c>
      <c r="E13" s="7" t="s">
        <v>448</v>
      </c>
      <c r="F13" s="7" t="s">
        <v>17</v>
      </c>
      <c r="G13" s="8">
        <v>45748.273263888892</v>
      </c>
      <c r="H13" s="7" t="s">
        <v>410</v>
      </c>
      <c r="I13" s="7" t="s">
        <v>449</v>
      </c>
      <c r="J13">
        <v>11</v>
      </c>
      <c r="K13" s="7" t="s">
        <v>30</v>
      </c>
      <c r="L13" s="7" t="s">
        <v>412</v>
      </c>
      <c r="M13" s="7" t="s">
        <v>413</v>
      </c>
      <c r="N13" s="7"/>
    </row>
    <row r="14" spans="1:14" hidden="1">
      <c r="A14" s="9" t="s">
        <v>41</v>
      </c>
      <c r="B14" t="str">
        <f>VLOOKUP(WH_Data[[#This Row],[Case Number]],Table2[[CaseNumber]:[Region__c]],1,FALSE)</f>
        <v>17185017</v>
      </c>
      <c r="C14" s="7" t="s">
        <v>414</v>
      </c>
      <c r="D14" s="7" t="s">
        <v>435</v>
      </c>
      <c r="E14" s="7" t="s">
        <v>450</v>
      </c>
      <c r="F14" s="7" t="s">
        <v>17</v>
      </c>
      <c r="G14" s="8">
        <v>45749.224317129629</v>
      </c>
      <c r="H14" s="7" t="s">
        <v>410</v>
      </c>
      <c r="I14" s="7" t="s">
        <v>451</v>
      </c>
      <c r="J14">
        <v>8</v>
      </c>
      <c r="K14" s="7" t="s">
        <v>30</v>
      </c>
      <c r="L14" s="7" t="s">
        <v>412</v>
      </c>
      <c r="M14" s="7" t="s">
        <v>413</v>
      </c>
      <c r="N14" s="7"/>
    </row>
    <row r="15" spans="1:14" hidden="1">
      <c r="A15" s="9" t="s">
        <v>42</v>
      </c>
      <c r="B15" t="str">
        <f>VLOOKUP(WH_Data[[#This Row],[Case Number]],Table2[[CaseNumber]:[Region__c]],1,FALSE)</f>
        <v>17214350</v>
      </c>
      <c r="C15" s="7" t="s">
        <v>414</v>
      </c>
      <c r="D15" s="7" t="s">
        <v>452</v>
      </c>
      <c r="E15" s="7" t="s">
        <v>453</v>
      </c>
      <c r="F15" s="7" t="s">
        <v>17</v>
      </c>
      <c r="G15" s="8">
        <v>45699.640439814815</v>
      </c>
      <c r="H15" s="7" t="s">
        <v>410</v>
      </c>
      <c r="I15" s="7" t="s">
        <v>454</v>
      </c>
      <c r="J15">
        <v>4</v>
      </c>
      <c r="K15" s="7" t="s">
        <v>30</v>
      </c>
      <c r="L15" s="7" t="s">
        <v>412</v>
      </c>
      <c r="M15" s="7" t="s">
        <v>413</v>
      </c>
      <c r="N15" s="7"/>
    </row>
    <row r="16" spans="1:14" hidden="1">
      <c r="A16" s="9" t="s">
        <v>16</v>
      </c>
      <c r="B16" t="str">
        <f>VLOOKUP(WH_Data[[#This Row],[Case Number]],Table2[[CaseNumber]:[Region__c]],1,FALSE)</f>
        <v>17235772</v>
      </c>
      <c r="C16" s="7" t="s">
        <v>455</v>
      </c>
      <c r="D16" s="7" t="s">
        <v>456</v>
      </c>
      <c r="E16" s="7" t="s">
        <v>457</v>
      </c>
      <c r="F16" s="7" t="s">
        <v>17</v>
      </c>
      <c r="G16" s="8">
        <v>45764.599953703706</v>
      </c>
      <c r="H16" s="7" t="s">
        <v>410</v>
      </c>
      <c r="I16" s="7" t="s">
        <v>458</v>
      </c>
      <c r="J16">
        <v>14</v>
      </c>
      <c r="K16" s="7" t="s">
        <v>12</v>
      </c>
      <c r="L16" s="7" t="s">
        <v>412</v>
      </c>
      <c r="M16" s="7" t="s">
        <v>413</v>
      </c>
      <c r="N16" s="7"/>
    </row>
    <row r="17" spans="1:14" hidden="1">
      <c r="A17" s="9" t="s">
        <v>43</v>
      </c>
      <c r="B17" t="str">
        <f>VLOOKUP(WH_Data[[#This Row],[Case Number]],Table2[[CaseNumber]:[Region__c]],1,FALSE)</f>
        <v>17246396</v>
      </c>
      <c r="C17" s="7" t="s">
        <v>422</v>
      </c>
      <c r="D17" s="7" t="s">
        <v>459</v>
      </c>
      <c r="E17" s="7" t="s">
        <v>460</v>
      </c>
      <c r="F17" s="7" t="s">
        <v>44</v>
      </c>
      <c r="G17" s="8">
        <v>45853.56459490741</v>
      </c>
      <c r="H17" s="7" t="s">
        <v>410</v>
      </c>
      <c r="I17" s="7" t="s">
        <v>461</v>
      </c>
      <c r="J17">
        <v>12</v>
      </c>
      <c r="K17" s="7" t="s">
        <v>30</v>
      </c>
      <c r="L17" s="7" t="s">
        <v>412</v>
      </c>
      <c r="M17" s="7" t="s">
        <v>413</v>
      </c>
      <c r="N17" s="7"/>
    </row>
    <row r="18" spans="1:14" hidden="1">
      <c r="A18" s="9" t="s">
        <v>45</v>
      </c>
      <c r="B18" t="str">
        <f>VLOOKUP(WH_Data[[#This Row],[Case Number]],Table2[[CaseNumber]:[Region__c]],1,FALSE)</f>
        <v>17263839</v>
      </c>
      <c r="C18" s="7" t="s">
        <v>422</v>
      </c>
      <c r="D18" s="7" t="s">
        <v>462</v>
      </c>
      <c r="E18" s="7" t="s">
        <v>463</v>
      </c>
      <c r="F18" s="7" t="s">
        <v>46</v>
      </c>
      <c r="G18" s="8">
        <v>45734.590405092589</v>
      </c>
      <c r="H18" s="7" t="s">
        <v>410</v>
      </c>
      <c r="I18" s="7" t="s">
        <v>464</v>
      </c>
      <c r="J18">
        <v>12</v>
      </c>
      <c r="K18" s="7" t="s">
        <v>30</v>
      </c>
      <c r="L18" s="7" t="s">
        <v>412</v>
      </c>
      <c r="M18" s="7" t="s">
        <v>413</v>
      </c>
      <c r="N18" s="7"/>
    </row>
    <row r="19" spans="1:14" hidden="1">
      <c r="A19" s="9" t="s">
        <v>47</v>
      </c>
      <c r="B19" t="str">
        <f>VLOOKUP(WH_Data[[#This Row],[Case Number]],Table2[[CaseNumber]:[Region__c]],1,FALSE)</f>
        <v>17322311</v>
      </c>
      <c r="C19" s="7" t="s">
        <v>414</v>
      </c>
      <c r="D19" s="7" t="s">
        <v>452</v>
      </c>
      <c r="E19" s="7" t="s">
        <v>465</v>
      </c>
      <c r="F19" s="7" t="s">
        <v>17</v>
      </c>
      <c r="G19" s="8">
        <v>45699.651354166665</v>
      </c>
      <c r="H19" s="7" t="s">
        <v>410</v>
      </c>
      <c r="I19" s="7" t="s">
        <v>466</v>
      </c>
      <c r="J19">
        <v>4</v>
      </c>
      <c r="K19" s="7" t="s">
        <v>30</v>
      </c>
      <c r="L19" s="7" t="s">
        <v>412</v>
      </c>
      <c r="M19" s="7" t="s">
        <v>413</v>
      </c>
      <c r="N19" s="7"/>
    </row>
    <row r="20" spans="1:14" hidden="1">
      <c r="A20" s="9" t="s">
        <v>48</v>
      </c>
      <c r="B20" t="str">
        <f>VLOOKUP(WH_Data[[#This Row],[Case Number]],Table2[[CaseNumber]:[Region__c]],1,FALSE)</f>
        <v>17365716</v>
      </c>
      <c r="C20" s="7" t="s">
        <v>422</v>
      </c>
      <c r="D20" s="7" t="s">
        <v>467</v>
      </c>
      <c r="E20" s="7" t="s">
        <v>468</v>
      </c>
      <c r="F20" s="7" t="s">
        <v>46</v>
      </c>
      <c r="G20" s="8">
        <v>45685.626956018517</v>
      </c>
      <c r="H20" s="7" t="s">
        <v>410</v>
      </c>
      <c r="I20" s="7" t="s">
        <v>469</v>
      </c>
      <c r="J20">
        <v>14</v>
      </c>
      <c r="K20" s="7" t="s">
        <v>30</v>
      </c>
      <c r="L20" s="7" t="s">
        <v>412</v>
      </c>
      <c r="M20" s="7" t="s">
        <v>413</v>
      </c>
      <c r="N20" s="7"/>
    </row>
    <row r="21" spans="1:14" hidden="1">
      <c r="A21" s="9" t="s">
        <v>49</v>
      </c>
      <c r="B21" t="str">
        <f>VLOOKUP(WH_Data[[#This Row],[Case Number]],Table2[[CaseNumber]:[Region__c]],1,FALSE)</f>
        <v>17396088</v>
      </c>
      <c r="C21" s="7" t="s">
        <v>407</v>
      </c>
      <c r="D21" s="7" t="s">
        <v>470</v>
      </c>
      <c r="E21" s="7" t="s">
        <v>463</v>
      </c>
      <c r="F21" s="7" t="s">
        <v>11</v>
      </c>
      <c r="G21" s="8">
        <v>45667.739803240744</v>
      </c>
      <c r="H21" s="7" t="s">
        <v>471</v>
      </c>
      <c r="I21" s="7" t="s">
        <v>472</v>
      </c>
      <c r="J21">
        <v>15</v>
      </c>
      <c r="K21" s="7" t="s">
        <v>30</v>
      </c>
      <c r="L21" s="7" t="s">
        <v>412</v>
      </c>
      <c r="M21" s="7" t="s">
        <v>413</v>
      </c>
      <c r="N21" s="7"/>
    </row>
    <row r="22" spans="1:14" hidden="1">
      <c r="A22" s="9" t="s">
        <v>50</v>
      </c>
      <c r="B22" t="str">
        <f>VLOOKUP(WH_Data[[#This Row],[Case Number]],Table2[[CaseNumber]:[Region__c]],1,FALSE)</f>
        <v>17396236</v>
      </c>
      <c r="C22" s="7" t="s">
        <v>407</v>
      </c>
      <c r="D22" s="7" t="s">
        <v>470</v>
      </c>
      <c r="E22" s="7" t="s">
        <v>424</v>
      </c>
      <c r="F22" s="7" t="s">
        <v>11</v>
      </c>
      <c r="G22" s="8">
        <v>45667.739756944444</v>
      </c>
      <c r="H22" s="7" t="s">
        <v>471</v>
      </c>
      <c r="I22" s="7" t="s">
        <v>473</v>
      </c>
      <c r="J22">
        <v>14</v>
      </c>
      <c r="K22" s="7" t="s">
        <v>30</v>
      </c>
      <c r="L22" s="7" t="s">
        <v>412</v>
      </c>
      <c r="M22" s="7" t="s">
        <v>413</v>
      </c>
      <c r="N22" s="7"/>
    </row>
    <row r="23" spans="1:14" hidden="1">
      <c r="A23" s="9" t="s">
        <v>51</v>
      </c>
      <c r="B23" t="str">
        <f>VLOOKUP(WH_Data[[#This Row],[Case Number]],Table2[[CaseNumber]:[Region__c]],1,FALSE)</f>
        <v>17396247</v>
      </c>
      <c r="C23" s="7" t="s">
        <v>407</v>
      </c>
      <c r="D23" s="7" t="s">
        <v>470</v>
      </c>
      <c r="E23" s="7" t="s">
        <v>474</v>
      </c>
      <c r="F23" s="7" t="s">
        <v>11</v>
      </c>
      <c r="G23" s="8">
        <v>45667.739699074074</v>
      </c>
      <c r="H23" s="7" t="s">
        <v>471</v>
      </c>
      <c r="I23" s="7" t="s">
        <v>475</v>
      </c>
      <c r="J23">
        <v>14</v>
      </c>
      <c r="K23" s="7" t="s">
        <v>30</v>
      </c>
      <c r="L23" s="7" t="s">
        <v>412</v>
      </c>
      <c r="M23" s="7" t="s">
        <v>413</v>
      </c>
      <c r="N23" s="7"/>
    </row>
    <row r="24" spans="1:14" hidden="1">
      <c r="A24" s="9" t="s">
        <v>52</v>
      </c>
      <c r="B24" t="str">
        <f>VLOOKUP(WH_Data[[#This Row],[Case Number]],Table2[[CaseNumber]:[Region__c]],1,FALSE)</f>
        <v>17396259</v>
      </c>
      <c r="C24" s="7" t="s">
        <v>407</v>
      </c>
      <c r="D24" s="7" t="s">
        <v>470</v>
      </c>
      <c r="E24" s="7" t="s">
        <v>476</v>
      </c>
      <c r="F24" s="7" t="s">
        <v>11</v>
      </c>
      <c r="G24" s="8">
        <v>45667.739895833336</v>
      </c>
      <c r="H24" s="7" t="s">
        <v>410</v>
      </c>
      <c r="I24" s="7" t="s">
        <v>471</v>
      </c>
      <c r="J24">
        <v>15</v>
      </c>
      <c r="K24" s="7" t="s">
        <v>30</v>
      </c>
      <c r="L24" s="7" t="s">
        <v>412</v>
      </c>
      <c r="M24" s="7" t="s">
        <v>413</v>
      </c>
      <c r="N24" s="7"/>
    </row>
    <row r="25" spans="1:14" hidden="1">
      <c r="A25" s="9" t="s">
        <v>53</v>
      </c>
      <c r="B25" t="str">
        <f>VLOOKUP(WH_Data[[#This Row],[Case Number]],Table2[[CaseNumber]:[Region__c]],1,FALSE)</f>
        <v>17396274</v>
      </c>
      <c r="C25" s="7" t="s">
        <v>407</v>
      </c>
      <c r="D25" s="7" t="s">
        <v>470</v>
      </c>
      <c r="E25" s="7" t="s">
        <v>477</v>
      </c>
      <c r="F25" s="7" t="s">
        <v>11</v>
      </c>
      <c r="G25" s="8">
        <v>45667.739641203705</v>
      </c>
      <c r="H25" s="7" t="s">
        <v>471</v>
      </c>
      <c r="I25" s="7" t="s">
        <v>478</v>
      </c>
      <c r="J25">
        <v>15</v>
      </c>
      <c r="K25" s="7" t="s">
        <v>30</v>
      </c>
      <c r="L25" s="7" t="s">
        <v>412</v>
      </c>
      <c r="M25" s="7" t="s">
        <v>413</v>
      </c>
      <c r="N25" s="7"/>
    </row>
    <row r="26" spans="1:14" hidden="1">
      <c r="A26" s="9" t="s">
        <v>54</v>
      </c>
      <c r="B26" t="str">
        <f>VLOOKUP(WH_Data[[#This Row],[Case Number]],Table2[[CaseNumber]:[Region__c]],1,FALSE)</f>
        <v>17403943</v>
      </c>
      <c r="C26" s="7" t="s">
        <v>407</v>
      </c>
      <c r="D26" s="7" t="s">
        <v>470</v>
      </c>
      <c r="E26" s="7" t="s">
        <v>457</v>
      </c>
      <c r="F26" s="7" t="s">
        <v>11</v>
      </c>
      <c r="G26" s="8">
        <v>45667.739571759259</v>
      </c>
      <c r="H26" s="7" t="s">
        <v>471</v>
      </c>
      <c r="I26" s="7" t="s">
        <v>479</v>
      </c>
      <c r="J26">
        <v>14</v>
      </c>
      <c r="K26" s="7" t="s">
        <v>30</v>
      </c>
      <c r="L26" s="7" t="s">
        <v>412</v>
      </c>
      <c r="M26" s="7" t="s">
        <v>413</v>
      </c>
      <c r="N26" s="7"/>
    </row>
    <row r="27" spans="1:14" hidden="1">
      <c r="A27" s="9" t="s">
        <v>55</v>
      </c>
      <c r="B27" t="str">
        <f>VLOOKUP(WH_Data[[#This Row],[Case Number]],Table2[[CaseNumber]:[Region__c]],1,FALSE)</f>
        <v>17403955</v>
      </c>
      <c r="C27" s="7" t="s">
        <v>407</v>
      </c>
      <c r="D27" s="7" t="s">
        <v>470</v>
      </c>
      <c r="E27" s="7" t="s">
        <v>453</v>
      </c>
      <c r="F27" s="7" t="s">
        <v>11</v>
      </c>
      <c r="G27" s="8">
        <v>45687.610601851855</v>
      </c>
      <c r="H27" s="7" t="s">
        <v>471</v>
      </c>
      <c r="I27" s="7" t="s">
        <v>480</v>
      </c>
      <c r="J27">
        <v>35</v>
      </c>
      <c r="K27" s="7" t="s">
        <v>30</v>
      </c>
      <c r="L27" s="7" t="s">
        <v>412</v>
      </c>
      <c r="M27" s="7" t="s">
        <v>413</v>
      </c>
      <c r="N27" s="7"/>
    </row>
    <row r="28" spans="1:14" hidden="1">
      <c r="A28" s="9" t="s">
        <v>56</v>
      </c>
      <c r="B28" t="str">
        <f>VLOOKUP(WH_Data[[#This Row],[Case Number]],Table2[[CaseNumber]:[Region__c]],1,FALSE)</f>
        <v>17403967</v>
      </c>
      <c r="C28" s="7" t="s">
        <v>407</v>
      </c>
      <c r="D28" s="7" t="s">
        <v>470</v>
      </c>
      <c r="E28" s="7" t="s">
        <v>481</v>
      </c>
      <c r="F28" s="7" t="s">
        <v>11</v>
      </c>
      <c r="G28" s="8">
        <v>45667.73945601852</v>
      </c>
      <c r="H28" s="7" t="s">
        <v>471</v>
      </c>
      <c r="I28" s="7" t="s">
        <v>482</v>
      </c>
      <c r="J28">
        <v>14</v>
      </c>
      <c r="K28" s="7" t="s">
        <v>30</v>
      </c>
      <c r="L28" s="7" t="s">
        <v>412</v>
      </c>
      <c r="M28" s="7" t="s">
        <v>413</v>
      </c>
      <c r="N28" s="7"/>
    </row>
    <row r="29" spans="1:14" hidden="1">
      <c r="A29" s="9" t="s">
        <v>57</v>
      </c>
      <c r="B29" t="str">
        <f>VLOOKUP(WH_Data[[#This Row],[Case Number]],Table2[[CaseNumber]:[Region__c]],1,FALSE)</f>
        <v>17403987</v>
      </c>
      <c r="C29" s="7" t="s">
        <v>407</v>
      </c>
      <c r="D29" s="7" t="s">
        <v>470</v>
      </c>
      <c r="E29" s="7" t="s">
        <v>419</v>
      </c>
      <c r="F29" s="7" t="s">
        <v>11</v>
      </c>
      <c r="G29" s="8">
        <v>45687.610671296294</v>
      </c>
      <c r="H29" s="7" t="s">
        <v>471</v>
      </c>
      <c r="I29" s="7" t="s">
        <v>483</v>
      </c>
      <c r="J29">
        <v>34</v>
      </c>
      <c r="K29" s="7" t="s">
        <v>30</v>
      </c>
      <c r="L29" s="7" t="s">
        <v>412</v>
      </c>
      <c r="M29" s="7" t="s">
        <v>413</v>
      </c>
      <c r="N29" s="7"/>
    </row>
    <row r="30" spans="1:14" hidden="1">
      <c r="A30" s="9" t="s">
        <v>58</v>
      </c>
      <c r="B30" t="str">
        <f>VLOOKUP(WH_Data[[#This Row],[Case Number]],Table2[[CaseNumber]:[Region__c]],1,FALSE)</f>
        <v>17403994</v>
      </c>
      <c r="C30" s="7" t="s">
        <v>407</v>
      </c>
      <c r="D30" s="7" t="s">
        <v>470</v>
      </c>
      <c r="E30" s="7" t="s">
        <v>484</v>
      </c>
      <c r="F30" s="7" t="s">
        <v>11</v>
      </c>
      <c r="G30" s="8">
        <v>45667.73940972222</v>
      </c>
      <c r="H30" s="7" t="s">
        <v>471</v>
      </c>
      <c r="I30" s="7" t="s">
        <v>485</v>
      </c>
      <c r="J30">
        <v>15</v>
      </c>
      <c r="K30" s="7" t="s">
        <v>30</v>
      </c>
      <c r="L30" s="7" t="s">
        <v>412</v>
      </c>
      <c r="M30" s="7" t="s">
        <v>413</v>
      </c>
      <c r="N30" s="7"/>
    </row>
    <row r="31" spans="1:14" hidden="1">
      <c r="A31" s="9" t="s">
        <v>59</v>
      </c>
      <c r="B31" t="str">
        <f>VLOOKUP(WH_Data[[#This Row],[Case Number]],Table2[[CaseNumber]:[Region__c]],1,FALSE)</f>
        <v>17413262</v>
      </c>
      <c r="C31" s="7" t="s">
        <v>407</v>
      </c>
      <c r="D31" s="7" t="s">
        <v>486</v>
      </c>
      <c r="E31" s="7" t="s">
        <v>487</v>
      </c>
      <c r="F31" s="7" t="s">
        <v>17</v>
      </c>
      <c r="G31" s="8">
        <v>45783.382650462961</v>
      </c>
      <c r="H31" s="7" t="s">
        <v>410</v>
      </c>
      <c r="I31" s="7" t="s">
        <v>488</v>
      </c>
      <c r="J31">
        <v>40</v>
      </c>
      <c r="K31" s="7" t="s">
        <v>30</v>
      </c>
      <c r="L31" s="7" t="s">
        <v>412</v>
      </c>
      <c r="M31" s="7" t="s">
        <v>413</v>
      </c>
      <c r="N31" s="7"/>
    </row>
    <row r="32" spans="1:14" hidden="1">
      <c r="A32" s="9" t="s">
        <v>18</v>
      </c>
      <c r="B32" t="str">
        <f>VLOOKUP(WH_Data[[#This Row],[Case Number]],Table2[[CaseNumber]:[Region__c]],1,FALSE)</f>
        <v>17451797</v>
      </c>
      <c r="C32" s="7" t="s">
        <v>417</v>
      </c>
      <c r="D32" s="7" t="s">
        <v>489</v>
      </c>
      <c r="E32" s="7" t="s">
        <v>490</v>
      </c>
      <c r="F32" s="7" t="s">
        <v>19</v>
      </c>
      <c r="G32" s="8">
        <v>45938.601979166669</v>
      </c>
      <c r="H32" s="7" t="s">
        <v>410</v>
      </c>
      <c r="I32" s="7" t="s">
        <v>491</v>
      </c>
      <c r="J32">
        <v>2</v>
      </c>
      <c r="K32" s="7" t="s">
        <v>12</v>
      </c>
      <c r="L32" s="7" t="s">
        <v>412</v>
      </c>
      <c r="M32" s="7" t="s">
        <v>413</v>
      </c>
      <c r="N32" s="7"/>
    </row>
    <row r="33" spans="1:14" hidden="1">
      <c r="A33" s="9" t="s">
        <v>60</v>
      </c>
      <c r="B33" t="str">
        <f>VLOOKUP(WH_Data[[#This Row],[Case Number]],Table2[[CaseNumber]:[Region__c]],1,FALSE)</f>
        <v>17486131</v>
      </c>
      <c r="C33" s="7" t="s">
        <v>422</v>
      </c>
      <c r="D33" s="7" t="s">
        <v>492</v>
      </c>
      <c r="E33" s="7" t="s">
        <v>493</v>
      </c>
      <c r="F33" s="7" t="s">
        <v>17</v>
      </c>
      <c r="G33" s="8">
        <v>45660.305706018517</v>
      </c>
      <c r="H33" s="7" t="s">
        <v>410</v>
      </c>
      <c r="I33" s="7" t="s">
        <v>494</v>
      </c>
      <c r="J33">
        <v>8</v>
      </c>
      <c r="K33" s="7" t="s">
        <v>30</v>
      </c>
      <c r="L33" s="7" t="s">
        <v>412</v>
      </c>
      <c r="M33" s="7" t="s">
        <v>413</v>
      </c>
      <c r="N33" s="7"/>
    </row>
    <row r="34" spans="1:14" hidden="1">
      <c r="A34" s="9" t="s">
        <v>61</v>
      </c>
      <c r="B34" t="str">
        <f>VLOOKUP(WH_Data[[#This Row],[Case Number]],Table2[[CaseNumber]:[Region__c]],1,FALSE)</f>
        <v>17499458</v>
      </c>
      <c r="C34" s="7" t="s">
        <v>407</v>
      </c>
      <c r="D34" s="7" t="s">
        <v>495</v>
      </c>
      <c r="E34" s="7" t="s">
        <v>496</v>
      </c>
      <c r="F34" s="7" t="s">
        <v>11</v>
      </c>
      <c r="G34" s="8">
        <v>45681.742268518516</v>
      </c>
      <c r="H34" s="7" t="s">
        <v>410</v>
      </c>
      <c r="I34" s="7" t="s">
        <v>497</v>
      </c>
      <c r="J34">
        <v>87</v>
      </c>
      <c r="K34" s="7" t="s">
        <v>30</v>
      </c>
      <c r="L34" s="7" t="s">
        <v>412</v>
      </c>
      <c r="M34" s="7" t="s">
        <v>413</v>
      </c>
      <c r="N34" s="7"/>
    </row>
    <row r="35" spans="1:14" hidden="1">
      <c r="A35" s="9" t="s">
        <v>62</v>
      </c>
      <c r="B35" t="str">
        <f>VLOOKUP(WH_Data[[#This Row],[Case Number]],Table2[[CaseNumber]:[Region__c]],1,FALSE)</f>
        <v>17499470</v>
      </c>
      <c r="C35" s="7" t="s">
        <v>407</v>
      </c>
      <c r="D35" s="7" t="s">
        <v>495</v>
      </c>
      <c r="E35" s="7" t="s">
        <v>498</v>
      </c>
      <c r="F35" s="7" t="s">
        <v>11</v>
      </c>
      <c r="G35" s="8">
        <v>45681.742164351854</v>
      </c>
      <c r="H35" s="7" t="s">
        <v>410</v>
      </c>
      <c r="I35" s="7" t="s">
        <v>499</v>
      </c>
      <c r="J35">
        <v>91</v>
      </c>
      <c r="K35" s="7" t="s">
        <v>30</v>
      </c>
      <c r="L35" s="7" t="s">
        <v>412</v>
      </c>
      <c r="M35" s="7" t="s">
        <v>413</v>
      </c>
      <c r="N35" s="7"/>
    </row>
    <row r="36" spans="1:14" hidden="1">
      <c r="A36" s="9" t="s">
        <v>63</v>
      </c>
      <c r="B36" t="str">
        <f>VLOOKUP(WH_Data[[#This Row],[Case Number]],Table2[[CaseNumber]:[Region__c]],1,FALSE)</f>
        <v>17500334</v>
      </c>
      <c r="C36" s="7" t="s">
        <v>414</v>
      </c>
      <c r="D36" s="7" t="s">
        <v>500</v>
      </c>
      <c r="E36" s="7" t="s">
        <v>476</v>
      </c>
      <c r="F36" s="7" t="s">
        <v>17</v>
      </c>
      <c r="G36" s="8">
        <v>45663.439467592594</v>
      </c>
      <c r="H36" s="7" t="s">
        <v>410</v>
      </c>
      <c r="I36" s="7" t="s">
        <v>501</v>
      </c>
      <c r="J36">
        <v>7</v>
      </c>
      <c r="K36" s="7" t="s">
        <v>30</v>
      </c>
      <c r="L36" s="7" t="s">
        <v>412</v>
      </c>
      <c r="M36" s="7" t="s">
        <v>413</v>
      </c>
      <c r="N36" s="7"/>
    </row>
    <row r="37" spans="1:14" hidden="1">
      <c r="A37" s="9" t="s">
        <v>64</v>
      </c>
      <c r="B37" t="str">
        <f>VLOOKUP(WH_Data[[#This Row],[Case Number]],Table2[[CaseNumber]:[Region__c]],1,FALSE)</f>
        <v>17550498</v>
      </c>
      <c r="C37" s="7" t="s">
        <v>414</v>
      </c>
      <c r="D37" s="7" t="s">
        <v>502</v>
      </c>
      <c r="E37" s="7" t="s">
        <v>503</v>
      </c>
      <c r="F37" s="7" t="s">
        <v>17</v>
      </c>
      <c r="G37" s="8">
        <v>45692.723622685182</v>
      </c>
      <c r="H37" s="7" t="s">
        <v>410</v>
      </c>
      <c r="I37" s="7" t="s">
        <v>504</v>
      </c>
      <c r="J37">
        <v>78</v>
      </c>
      <c r="K37" s="7" t="s">
        <v>30</v>
      </c>
      <c r="L37" s="7" t="s">
        <v>412</v>
      </c>
      <c r="M37" s="7" t="s">
        <v>413</v>
      </c>
      <c r="N37" s="7"/>
    </row>
    <row r="38" spans="1:14" hidden="1">
      <c r="A38" s="9" t="s">
        <v>20</v>
      </c>
      <c r="B38" t="str">
        <f>VLOOKUP(WH_Data[[#This Row],[Case Number]],Table2[[CaseNumber]:[Region__c]],1,FALSE)</f>
        <v>17551158</v>
      </c>
      <c r="C38" s="7" t="s">
        <v>417</v>
      </c>
      <c r="D38" s="7" t="s">
        <v>505</v>
      </c>
      <c r="E38" s="7" t="s">
        <v>506</v>
      </c>
      <c r="F38" s="7" t="s">
        <v>11</v>
      </c>
      <c r="G38" s="8">
        <v>45807.599166666667</v>
      </c>
      <c r="H38" s="7" t="s">
        <v>410</v>
      </c>
      <c r="I38" s="7" t="s">
        <v>507</v>
      </c>
      <c r="J38">
        <v>204</v>
      </c>
      <c r="K38" s="7" t="s">
        <v>12</v>
      </c>
      <c r="L38" s="7" t="s">
        <v>412</v>
      </c>
      <c r="M38" s="7" t="s">
        <v>413</v>
      </c>
      <c r="N38" s="7"/>
    </row>
    <row r="39" spans="1:14" hidden="1">
      <c r="A39" s="9" t="s">
        <v>65</v>
      </c>
      <c r="B39" t="str">
        <f>VLOOKUP(WH_Data[[#This Row],[Case Number]],Table2[[CaseNumber]:[Region__c]],1,FALSE)</f>
        <v>17557130</v>
      </c>
      <c r="C39" s="7" t="s">
        <v>414</v>
      </c>
      <c r="D39" s="7" t="s">
        <v>508</v>
      </c>
      <c r="E39" s="7" t="s">
        <v>509</v>
      </c>
      <c r="F39" s="7" t="s">
        <v>19</v>
      </c>
      <c r="G39" s="8">
        <v>45693.593217592592</v>
      </c>
      <c r="H39" s="7" t="s">
        <v>410</v>
      </c>
      <c r="I39" s="7" t="s">
        <v>510</v>
      </c>
      <c r="J39">
        <v>14</v>
      </c>
      <c r="K39" s="7" t="s">
        <v>30</v>
      </c>
      <c r="L39" s="7" t="s">
        <v>412</v>
      </c>
      <c r="M39" s="7" t="s">
        <v>413</v>
      </c>
      <c r="N39" s="7"/>
    </row>
    <row r="40" spans="1:14" hidden="1">
      <c r="A40" s="9" t="s">
        <v>66</v>
      </c>
      <c r="B40" t="str">
        <f>VLOOKUP(WH_Data[[#This Row],[Case Number]],Table2[[CaseNumber]:[Region__c]],1,FALSE)</f>
        <v>17573379</v>
      </c>
      <c r="C40" s="7" t="s">
        <v>422</v>
      </c>
      <c r="D40" s="7" t="s">
        <v>511</v>
      </c>
      <c r="E40" s="7" t="s">
        <v>433</v>
      </c>
      <c r="F40" s="7" t="s">
        <v>11</v>
      </c>
      <c r="G40" s="8">
        <v>45751.431192129632</v>
      </c>
      <c r="H40" s="7" t="s">
        <v>410</v>
      </c>
      <c r="I40" s="7" t="s">
        <v>512</v>
      </c>
      <c r="J40">
        <v>14</v>
      </c>
      <c r="K40" s="7" t="s">
        <v>30</v>
      </c>
      <c r="L40" s="7" t="s">
        <v>412</v>
      </c>
      <c r="M40" s="7" t="s">
        <v>413</v>
      </c>
      <c r="N40" s="7"/>
    </row>
    <row r="41" spans="1:14" hidden="1">
      <c r="A41" s="9" t="s">
        <v>67</v>
      </c>
      <c r="B41" t="str">
        <f>VLOOKUP(WH_Data[[#This Row],[Case Number]],Table2[[CaseNumber]:[Region__c]],1,FALSE)</f>
        <v>17583138</v>
      </c>
      <c r="C41" s="7" t="s">
        <v>414</v>
      </c>
      <c r="D41" s="7" t="s">
        <v>513</v>
      </c>
      <c r="E41" s="7" t="s">
        <v>514</v>
      </c>
      <c r="F41" s="7" t="s">
        <v>15</v>
      </c>
      <c r="G41" s="8">
        <v>45678.60359953704</v>
      </c>
      <c r="H41" s="7" t="s">
        <v>410</v>
      </c>
      <c r="I41" s="7" t="s">
        <v>515</v>
      </c>
      <c r="J41">
        <v>12</v>
      </c>
      <c r="K41" s="7" t="s">
        <v>30</v>
      </c>
      <c r="L41" s="7" t="s">
        <v>412</v>
      </c>
      <c r="M41" s="7" t="s">
        <v>413</v>
      </c>
      <c r="N41" s="7"/>
    </row>
    <row r="42" spans="1:14" hidden="1">
      <c r="A42" s="9" t="s">
        <v>68</v>
      </c>
      <c r="B42" t="str">
        <f>VLOOKUP(WH_Data[[#This Row],[Case Number]],Table2[[CaseNumber]:[Region__c]],1,FALSE)</f>
        <v>17596465</v>
      </c>
      <c r="C42" s="7" t="s">
        <v>422</v>
      </c>
      <c r="D42" s="7" t="s">
        <v>516</v>
      </c>
      <c r="E42" s="7" t="s">
        <v>496</v>
      </c>
      <c r="F42" s="7" t="s">
        <v>11</v>
      </c>
      <c r="G42" s="8">
        <v>45694.436481481483</v>
      </c>
      <c r="H42" s="7" t="s">
        <v>410</v>
      </c>
      <c r="I42" s="7" t="s">
        <v>517</v>
      </c>
      <c r="J42">
        <v>16</v>
      </c>
      <c r="K42" s="7" t="s">
        <v>30</v>
      </c>
      <c r="L42" s="7" t="s">
        <v>412</v>
      </c>
      <c r="M42" s="7" t="s">
        <v>413</v>
      </c>
      <c r="N42" s="7"/>
    </row>
    <row r="43" spans="1:14" hidden="1">
      <c r="A43" s="9" t="s">
        <v>69</v>
      </c>
      <c r="B43" t="str">
        <f>VLOOKUP(WH_Data[[#This Row],[Case Number]],Table2[[CaseNumber]:[Region__c]],1,FALSE)</f>
        <v>17618484</v>
      </c>
      <c r="C43" s="7" t="s">
        <v>422</v>
      </c>
      <c r="D43" s="7" t="s">
        <v>518</v>
      </c>
      <c r="E43" s="7" t="s">
        <v>519</v>
      </c>
      <c r="F43" s="7" t="s">
        <v>17</v>
      </c>
      <c r="G43" s="8">
        <v>45743.576631944445</v>
      </c>
      <c r="H43" s="7" t="s">
        <v>410</v>
      </c>
      <c r="I43" s="7" t="s">
        <v>520</v>
      </c>
      <c r="J43">
        <v>14</v>
      </c>
      <c r="K43" s="7" t="s">
        <v>30</v>
      </c>
      <c r="L43" s="7" t="s">
        <v>412</v>
      </c>
      <c r="M43" s="7" t="s">
        <v>413</v>
      </c>
      <c r="N43" s="7"/>
    </row>
    <row r="44" spans="1:14" hidden="1">
      <c r="A44" s="9" t="s">
        <v>70</v>
      </c>
      <c r="B44" t="str">
        <f>VLOOKUP(WH_Data[[#This Row],[Case Number]],Table2[[CaseNumber]:[Region__c]],1,FALSE)</f>
        <v>17629467</v>
      </c>
      <c r="C44" s="7" t="s">
        <v>407</v>
      </c>
      <c r="D44" s="7" t="s">
        <v>521</v>
      </c>
      <c r="E44" s="7" t="s">
        <v>460</v>
      </c>
      <c r="F44" s="7" t="s">
        <v>44</v>
      </c>
      <c r="G44" s="8">
        <v>45931.564826388887</v>
      </c>
      <c r="H44" s="7" t="s">
        <v>410</v>
      </c>
      <c r="I44" s="7" t="s">
        <v>522</v>
      </c>
      <c r="J44">
        <v>69</v>
      </c>
      <c r="K44" s="7" t="s">
        <v>30</v>
      </c>
      <c r="L44" s="7" t="s">
        <v>412</v>
      </c>
      <c r="M44" s="7" t="s">
        <v>413</v>
      </c>
      <c r="N44" s="7"/>
    </row>
    <row r="45" spans="1:14" hidden="1">
      <c r="A45" s="9" t="s">
        <v>71</v>
      </c>
      <c r="B45" t="str">
        <f>VLOOKUP(WH_Data[[#This Row],[Case Number]],Table2[[CaseNumber]:[Region__c]],1,FALSE)</f>
        <v>17631947</v>
      </c>
      <c r="C45" s="7" t="s">
        <v>422</v>
      </c>
      <c r="D45" s="7" t="s">
        <v>523</v>
      </c>
      <c r="E45" s="7" t="s">
        <v>524</v>
      </c>
      <c r="F45" s="7" t="s">
        <v>11</v>
      </c>
      <c r="G45" s="8">
        <v>45926.580300925925</v>
      </c>
      <c r="H45" s="7" t="s">
        <v>410</v>
      </c>
      <c r="I45" s="7" t="s">
        <v>525</v>
      </c>
      <c r="J45">
        <v>10</v>
      </c>
      <c r="K45" s="7" t="s">
        <v>30</v>
      </c>
      <c r="L45" s="7" t="s">
        <v>412</v>
      </c>
      <c r="M45" s="7" t="s">
        <v>413</v>
      </c>
      <c r="N45" s="7"/>
    </row>
    <row r="46" spans="1:14" hidden="1">
      <c r="A46" s="9" t="s">
        <v>72</v>
      </c>
      <c r="B46" t="str">
        <f>VLOOKUP(WH_Data[[#This Row],[Case Number]],Table2[[CaseNumber]:[Region__c]],1,FALSE)</f>
        <v>17634025</v>
      </c>
      <c r="C46" s="7" t="s">
        <v>422</v>
      </c>
      <c r="D46" s="7" t="s">
        <v>513</v>
      </c>
      <c r="E46" s="7" t="s">
        <v>526</v>
      </c>
      <c r="F46" s="7" t="s">
        <v>15</v>
      </c>
      <c r="G46" s="8">
        <v>45803.92627314815</v>
      </c>
      <c r="H46" s="7" t="s">
        <v>410</v>
      </c>
      <c r="I46" s="7" t="s">
        <v>527</v>
      </c>
      <c r="J46">
        <v>15</v>
      </c>
      <c r="K46" s="7" t="s">
        <v>30</v>
      </c>
      <c r="L46" s="7" t="s">
        <v>412</v>
      </c>
      <c r="M46" s="7" t="s">
        <v>413</v>
      </c>
      <c r="N46" s="7"/>
    </row>
    <row r="47" spans="1:14" hidden="1">
      <c r="A47" s="9" t="s">
        <v>73</v>
      </c>
      <c r="B47" t="str">
        <f>VLOOKUP(WH_Data[[#This Row],[Case Number]],Table2[[CaseNumber]:[Region__c]],1,FALSE)</f>
        <v>17636411</v>
      </c>
      <c r="C47" s="7" t="s">
        <v>414</v>
      </c>
      <c r="D47" s="7" t="s">
        <v>528</v>
      </c>
      <c r="E47" s="7" t="s">
        <v>529</v>
      </c>
      <c r="F47" s="7" t="s">
        <v>19</v>
      </c>
      <c r="G47" s="8">
        <v>45758.290914351855</v>
      </c>
      <c r="H47" s="7" t="s">
        <v>410</v>
      </c>
      <c r="I47" s="7" t="s">
        <v>530</v>
      </c>
      <c r="J47">
        <v>3</v>
      </c>
      <c r="K47" s="7" t="s">
        <v>30</v>
      </c>
      <c r="L47" s="7" t="s">
        <v>412</v>
      </c>
      <c r="M47" s="7" t="s">
        <v>413</v>
      </c>
      <c r="N47" s="7"/>
    </row>
    <row r="48" spans="1:14" hidden="1">
      <c r="A48" s="9" t="s">
        <v>74</v>
      </c>
      <c r="B48" t="str">
        <f>VLOOKUP(WH_Data[[#This Row],[Case Number]],Table2[[CaseNumber]:[Region__c]],1,FALSE)</f>
        <v>17636994</v>
      </c>
      <c r="C48" s="7" t="s">
        <v>422</v>
      </c>
      <c r="D48" s="7" t="s">
        <v>531</v>
      </c>
      <c r="E48" s="7" t="s">
        <v>476</v>
      </c>
      <c r="F48" s="7" t="s">
        <v>11</v>
      </c>
      <c r="G48" s="8">
        <v>45798.771134259259</v>
      </c>
      <c r="H48" s="7" t="s">
        <v>410</v>
      </c>
      <c r="I48" s="7" t="s">
        <v>532</v>
      </c>
      <c r="J48">
        <v>15</v>
      </c>
      <c r="K48" s="7" t="s">
        <v>30</v>
      </c>
      <c r="L48" s="7" t="s">
        <v>412</v>
      </c>
      <c r="M48" s="7" t="s">
        <v>413</v>
      </c>
      <c r="N48" s="7"/>
    </row>
    <row r="49" spans="1:14" hidden="1">
      <c r="A49" s="9" t="s">
        <v>75</v>
      </c>
      <c r="B49" t="str">
        <f>VLOOKUP(WH_Data[[#This Row],[Case Number]],Table2[[CaseNumber]:[Region__c]],1,FALSE)</f>
        <v>17637187</v>
      </c>
      <c r="C49" s="7" t="s">
        <v>407</v>
      </c>
      <c r="D49" s="7" t="s">
        <v>418</v>
      </c>
      <c r="E49" s="7" t="s">
        <v>436</v>
      </c>
      <c r="F49" s="7" t="s">
        <v>11</v>
      </c>
      <c r="G49" s="8">
        <v>45665.385833333334</v>
      </c>
      <c r="H49" s="7" t="s">
        <v>410</v>
      </c>
      <c r="I49" s="7" t="s">
        <v>533</v>
      </c>
      <c r="J49">
        <v>36</v>
      </c>
      <c r="K49" s="7" t="s">
        <v>30</v>
      </c>
      <c r="L49" s="7" t="s">
        <v>412</v>
      </c>
      <c r="M49" s="7" t="s">
        <v>413</v>
      </c>
      <c r="N49" s="7"/>
    </row>
    <row r="50" spans="1:14" hidden="1">
      <c r="A50" s="9" t="s">
        <v>76</v>
      </c>
      <c r="B50" t="str">
        <f>VLOOKUP(WH_Data[[#This Row],[Case Number]],Table2[[CaseNumber]:[Region__c]],1,FALSE)</f>
        <v>17639708</v>
      </c>
      <c r="C50" s="7" t="s">
        <v>422</v>
      </c>
      <c r="D50" s="7" t="s">
        <v>534</v>
      </c>
      <c r="E50" s="7" t="s">
        <v>433</v>
      </c>
      <c r="F50" s="7" t="s">
        <v>11</v>
      </c>
      <c r="G50" s="8">
        <v>45714.437916666669</v>
      </c>
      <c r="H50" s="7" t="s">
        <v>410</v>
      </c>
      <c r="I50" s="7" t="s">
        <v>535</v>
      </c>
      <c r="J50">
        <v>6</v>
      </c>
      <c r="K50" s="7" t="s">
        <v>30</v>
      </c>
      <c r="L50" s="7" t="s">
        <v>412</v>
      </c>
      <c r="M50" s="7" t="s">
        <v>413</v>
      </c>
      <c r="N50" s="7"/>
    </row>
    <row r="51" spans="1:14" hidden="1">
      <c r="A51" s="9" t="s">
        <v>77</v>
      </c>
      <c r="B51" t="str">
        <f>VLOOKUP(WH_Data[[#This Row],[Case Number]],Table2[[CaseNumber]:[Region__c]],1,FALSE)</f>
        <v>17646416</v>
      </c>
      <c r="C51" s="7" t="s">
        <v>407</v>
      </c>
      <c r="D51" s="7" t="s">
        <v>536</v>
      </c>
      <c r="E51" s="7" t="s">
        <v>537</v>
      </c>
      <c r="F51" s="7" t="s">
        <v>17</v>
      </c>
      <c r="G51" s="8">
        <v>45849.747465277775</v>
      </c>
      <c r="H51" s="7" t="s">
        <v>410</v>
      </c>
      <c r="I51" s="7" t="s">
        <v>538</v>
      </c>
      <c r="J51">
        <v>7</v>
      </c>
      <c r="K51" s="7" t="s">
        <v>30</v>
      </c>
      <c r="L51" s="7" t="s">
        <v>412</v>
      </c>
      <c r="M51" s="7" t="s">
        <v>413</v>
      </c>
      <c r="N51" s="7"/>
    </row>
    <row r="52" spans="1:14" hidden="1">
      <c r="A52" s="9" t="s">
        <v>78</v>
      </c>
      <c r="B52" t="str">
        <f>VLOOKUP(WH_Data[[#This Row],[Case Number]],Table2[[CaseNumber]:[Region__c]],1,FALSE)</f>
        <v>17684555</v>
      </c>
      <c r="C52" s="7" t="s">
        <v>407</v>
      </c>
      <c r="D52" s="7" t="s">
        <v>539</v>
      </c>
      <c r="E52" s="7" t="s">
        <v>440</v>
      </c>
      <c r="F52" s="7" t="s">
        <v>11</v>
      </c>
      <c r="G52" s="8">
        <v>45750.608553240738</v>
      </c>
      <c r="H52" s="7" t="s">
        <v>410</v>
      </c>
      <c r="I52" s="7" t="s">
        <v>540</v>
      </c>
      <c r="J52">
        <v>86</v>
      </c>
      <c r="K52" s="7" t="s">
        <v>30</v>
      </c>
      <c r="L52" s="7" t="s">
        <v>412</v>
      </c>
      <c r="M52" s="7" t="s">
        <v>413</v>
      </c>
      <c r="N52" s="7"/>
    </row>
    <row r="53" spans="1:14" hidden="1">
      <c r="A53" s="9" t="s">
        <v>79</v>
      </c>
      <c r="B53" t="str">
        <f>VLOOKUP(WH_Data[[#This Row],[Case Number]],Table2[[CaseNumber]:[Region__c]],1,FALSE)</f>
        <v>17700775</v>
      </c>
      <c r="C53" s="7" t="s">
        <v>422</v>
      </c>
      <c r="D53" s="7" t="s">
        <v>408</v>
      </c>
      <c r="E53" s="7" t="s">
        <v>436</v>
      </c>
      <c r="F53" s="7" t="s">
        <v>17</v>
      </c>
      <c r="G53" s="8">
        <v>45782.418298611112</v>
      </c>
      <c r="H53" s="7" t="s">
        <v>410</v>
      </c>
      <c r="I53" s="7" t="s">
        <v>541</v>
      </c>
      <c r="J53">
        <v>35</v>
      </c>
      <c r="K53" s="7" t="s">
        <v>30</v>
      </c>
      <c r="L53" s="7" t="s">
        <v>412</v>
      </c>
      <c r="M53" s="7" t="s">
        <v>413</v>
      </c>
      <c r="N53" s="7"/>
    </row>
    <row r="54" spans="1:14" hidden="1">
      <c r="A54" s="9" t="s">
        <v>80</v>
      </c>
      <c r="B54" t="str">
        <f>VLOOKUP(WH_Data[[#This Row],[Case Number]],Table2[[CaseNumber]:[Region__c]],1,FALSE)</f>
        <v>17704922</v>
      </c>
      <c r="C54" s="7" t="s">
        <v>407</v>
      </c>
      <c r="D54" s="7" t="s">
        <v>542</v>
      </c>
      <c r="E54" s="7" t="s">
        <v>526</v>
      </c>
      <c r="F54" s="7" t="s">
        <v>11</v>
      </c>
      <c r="G54" s="8">
        <v>45670.31523148148</v>
      </c>
      <c r="H54" s="7" t="s">
        <v>410</v>
      </c>
      <c r="I54" s="7" t="s">
        <v>543</v>
      </c>
      <c r="J54">
        <v>7</v>
      </c>
      <c r="K54" s="7" t="s">
        <v>30</v>
      </c>
      <c r="L54" s="7" t="s">
        <v>412</v>
      </c>
      <c r="M54" s="7" t="s">
        <v>413</v>
      </c>
      <c r="N54" s="7"/>
    </row>
    <row r="55" spans="1:14" hidden="1">
      <c r="A55" s="9" t="s">
        <v>81</v>
      </c>
      <c r="B55" t="str">
        <f>VLOOKUP(WH_Data[[#This Row],[Case Number]],Table2[[CaseNumber]:[Region__c]],1,FALSE)</f>
        <v>17707562</v>
      </c>
      <c r="C55" s="7" t="s">
        <v>414</v>
      </c>
      <c r="D55" s="7" t="s">
        <v>462</v>
      </c>
      <c r="E55" s="7" t="s">
        <v>477</v>
      </c>
      <c r="F55" s="7" t="s">
        <v>17</v>
      </c>
      <c r="G55" s="8">
        <v>45755.32472222222</v>
      </c>
      <c r="H55" s="7" t="s">
        <v>410</v>
      </c>
      <c r="I55" s="7" t="s">
        <v>544</v>
      </c>
      <c r="J55">
        <v>6</v>
      </c>
      <c r="K55" s="7" t="s">
        <v>30</v>
      </c>
      <c r="L55" s="7" t="s">
        <v>412</v>
      </c>
      <c r="M55" s="7" t="s">
        <v>413</v>
      </c>
      <c r="N55" s="7"/>
    </row>
    <row r="56" spans="1:14" hidden="1">
      <c r="A56" s="9" t="s">
        <v>82</v>
      </c>
      <c r="B56" t="str">
        <f>VLOOKUP(WH_Data[[#This Row],[Case Number]],Table2[[CaseNumber]:[Region__c]],1,FALSE)</f>
        <v>17713692</v>
      </c>
      <c r="C56" s="7" t="s">
        <v>422</v>
      </c>
      <c r="D56" s="7" t="s">
        <v>545</v>
      </c>
      <c r="E56" s="7" t="s">
        <v>546</v>
      </c>
      <c r="F56" s="7" t="s">
        <v>17</v>
      </c>
      <c r="G56" s="8">
        <v>45741.892997685187</v>
      </c>
      <c r="H56" s="7" t="s">
        <v>410</v>
      </c>
      <c r="I56" s="7" t="s">
        <v>547</v>
      </c>
      <c r="J56">
        <v>6</v>
      </c>
      <c r="K56" s="7" t="s">
        <v>30</v>
      </c>
      <c r="L56" s="7" t="s">
        <v>412</v>
      </c>
      <c r="M56" s="7" t="s">
        <v>413</v>
      </c>
      <c r="N56" s="7"/>
    </row>
    <row r="57" spans="1:14" hidden="1">
      <c r="A57" s="9" t="s">
        <v>83</v>
      </c>
      <c r="B57" t="str">
        <f>VLOOKUP(WH_Data[[#This Row],[Case Number]],Table2[[CaseNumber]:[Region__c]],1,FALSE)</f>
        <v>17713714</v>
      </c>
      <c r="C57" s="7" t="s">
        <v>407</v>
      </c>
      <c r="D57" s="7" t="s">
        <v>545</v>
      </c>
      <c r="E57" s="7" t="s">
        <v>481</v>
      </c>
      <c r="F57" s="7" t="s">
        <v>17</v>
      </c>
      <c r="G57" s="8">
        <v>45672.268553240741</v>
      </c>
      <c r="H57" s="7" t="s">
        <v>410</v>
      </c>
      <c r="I57" s="7" t="s">
        <v>548</v>
      </c>
      <c r="J57">
        <v>9</v>
      </c>
      <c r="K57" s="7" t="s">
        <v>30</v>
      </c>
      <c r="L57" s="7" t="s">
        <v>412</v>
      </c>
      <c r="M57" s="7" t="s">
        <v>413</v>
      </c>
      <c r="N57" s="7"/>
    </row>
    <row r="58" spans="1:14" hidden="1">
      <c r="A58" s="9" t="s">
        <v>84</v>
      </c>
      <c r="B58" t="str">
        <f>VLOOKUP(WH_Data[[#This Row],[Case Number]],Table2[[CaseNumber]:[Region__c]],1,FALSE)</f>
        <v>17713813</v>
      </c>
      <c r="C58" s="7" t="s">
        <v>407</v>
      </c>
      <c r="D58" s="7" t="s">
        <v>549</v>
      </c>
      <c r="E58" s="7" t="s">
        <v>498</v>
      </c>
      <c r="F58" s="7" t="s">
        <v>11</v>
      </c>
      <c r="G58" s="8">
        <v>45687.589155092595</v>
      </c>
      <c r="H58" s="7" t="s">
        <v>410</v>
      </c>
      <c r="I58" s="7" t="s">
        <v>550</v>
      </c>
      <c r="J58">
        <v>63</v>
      </c>
      <c r="K58" s="7" t="s">
        <v>30</v>
      </c>
      <c r="L58" s="7" t="s">
        <v>412</v>
      </c>
      <c r="M58" s="7" t="s">
        <v>413</v>
      </c>
      <c r="N58" s="7"/>
    </row>
    <row r="59" spans="1:14" hidden="1">
      <c r="A59" s="9" t="s">
        <v>85</v>
      </c>
      <c r="B59" t="str">
        <f>VLOOKUP(WH_Data[[#This Row],[Case Number]],Table2[[CaseNumber]:[Region__c]],1,FALSE)</f>
        <v>17723280</v>
      </c>
      <c r="C59" s="7" t="s">
        <v>407</v>
      </c>
      <c r="D59" s="7" t="s">
        <v>551</v>
      </c>
      <c r="E59" s="7" t="s">
        <v>440</v>
      </c>
      <c r="F59" s="7" t="s">
        <v>11</v>
      </c>
      <c r="G59" s="8">
        <v>45758.4919212963</v>
      </c>
      <c r="H59" s="7" t="s">
        <v>410</v>
      </c>
      <c r="I59" s="7" t="s">
        <v>552</v>
      </c>
      <c r="J59">
        <v>15</v>
      </c>
      <c r="K59" s="7" t="s">
        <v>30</v>
      </c>
      <c r="L59" s="7" t="s">
        <v>412</v>
      </c>
      <c r="M59" s="7" t="s">
        <v>413</v>
      </c>
      <c r="N59" s="7"/>
    </row>
    <row r="60" spans="1:14" hidden="1">
      <c r="A60" s="9" t="s">
        <v>86</v>
      </c>
      <c r="B60" t="str">
        <f>VLOOKUP(WH_Data[[#This Row],[Case Number]],Table2[[CaseNumber]:[Region__c]],1,FALSE)</f>
        <v>17747237</v>
      </c>
      <c r="C60" s="7" t="s">
        <v>407</v>
      </c>
      <c r="D60" s="7" t="s">
        <v>430</v>
      </c>
      <c r="E60" s="7" t="s">
        <v>419</v>
      </c>
      <c r="F60" s="7" t="s">
        <v>11</v>
      </c>
      <c r="G60" s="8">
        <v>45709.659745370373</v>
      </c>
      <c r="H60" s="7" t="s">
        <v>410</v>
      </c>
      <c r="I60" s="7" t="s">
        <v>553</v>
      </c>
      <c r="J60">
        <v>42</v>
      </c>
      <c r="K60" s="7" t="s">
        <v>30</v>
      </c>
      <c r="L60" s="7" t="s">
        <v>412</v>
      </c>
      <c r="M60" s="7" t="s">
        <v>413</v>
      </c>
      <c r="N60" s="7"/>
    </row>
    <row r="61" spans="1:14" hidden="1">
      <c r="A61" s="9" t="s">
        <v>87</v>
      </c>
      <c r="B61" t="str">
        <f>VLOOKUP(WH_Data[[#This Row],[Case Number]],Table2[[CaseNumber]:[Region__c]],1,FALSE)</f>
        <v>17747475</v>
      </c>
      <c r="C61" s="7" t="s">
        <v>407</v>
      </c>
      <c r="D61" s="7" t="s">
        <v>554</v>
      </c>
      <c r="E61" s="7" t="s">
        <v>555</v>
      </c>
      <c r="F61" s="7" t="s">
        <v>11</v>
      </c>
      <c r="G61" s="8">
        <v>45685.637939814813</v>
      </c>
      <c r="H61" s="7" t="s">
        <v>410</v>
      </c>
      <c r="I61" s="7" t="s">
        <v>556</v>
      </c>
      <c r="J61">
        <v>15</v>
      </c>
      <c r="K61" s="7" t="s">
        <v>30</v>
      </c>
      <c r="L61" s="7" t="s">
        <v>412</v>
      </c>
      <c r="M61" s="7" t="s">
        <v>413</v>
      </c>
      <c r="N61" s="7"/>
    </row>
    <row r="62" spans="1:14" hidden="1">
      <c r="A62" s="9" t="s">
        <v>88</v>
      </c>
      <c r="B62" t="str">
        <f>VLOOKUP(WH_Data[[#This Row],[Case Number]],Table2[[CaseNumber]:[Region__c]],1,FALSE)</f>
        <v>17754451</v>
      </c>
      <c r="C62" s="7" t="s">
        <v>414</v>
      </c>
      <c r="D62" s="7" t="s">
        <v>557</v>
      </c>
      <c r="E62" s="7" t="s">
        <v>409</v>
      </c>
      <c r="F62" s="7" t="s">
        <v>19</v>
      </c>
      <c r="G62" s="8">
        <v>45713.374479166669</v>
      </c>
      <c r="H62" s="7" t="s">
        <v>410</v>
      </c>
      <c r="I62" s="7" t="s">
        <v>558</v>
      </c>
      <c r="J62">
        <v>8</v>
      </c>
      <c r="K62" s="7" t="s">
        <v>30</v>
      </c>
      <c r="L62" s="7" t="s">
        <v>412</v>
      </c>
      <c r="M62" s="7" t="s">
        <v>413</v>
      </c>
      <c r="N62" s="7"/>
    </row>
    <row r="63" spans="1:14" hidden="1">
      <c r="A63" s="9" t="s">
        <v>89</v>
      </c>
      <c r="B63" t="str">
        <f>VLOOKUP(WH_Data[[#This Row],[Case Number]],Table2[[CaseNumber]:[Region__c]],1,FALSE)</f>
        <v>17776143</v>
      </c>
      <c r="C63" s="7" t="s">
        <v>414</v>
      </c>
      <c r="D63" s="7" t="s">
        <v>559</v>
      </c>
      <c r="E63" s="7" t="s">
        <v>537</v>
      </c>
      <c r="F63" s="7" t="s">
        <v>11</v>
      </c>
      <c r="G63" s="8">
        <v>45691.569525462961</v>
      </c>
      <c r="H63" s="7" t="s">
        <v>410</v>
      </c>
      <c r="I63" s="7" t="s">
        <v>560</v>
      </c>
      <c r="J63">
        <v>10</v>
      </c>
      <c r="K63" s="7" t="s">
        <v>30</v>
      </c>
      <c r="L63" s="7" t="s">
        <v>412</v>
      </c>
      <c r="M63" s="7" t="s">
        <v>413</v>
      </c>
      <c r="N63" s="7"/>
    </row>
    <row r="64" spans="1:14" hidden="1">
      <c r="A64" s="9" t="s">
        <v>90</v>
      </c>
      <c r="B64" t="str">
        <f>VLOOKUP(WH_Data[[#This Row],[Case Number]],Table2[[CaseNumber]:[Region__c]],1,FALSE)</f>
        <v>17800516</v>
      </c>
      <c r="C64" s="7" t="s">
        <v>414</v>
      </c>
      <c r="D64" s="7" t="s">
        <v>561</v>
      </c>
      <c r="E64" s="7" t="s">
        <v>448</v>
      </c>
      <c r="F64" s="7" t="s">
        <v>11</v>
      </c>
      <c r="G64" s="8">
        <v>45692.741215277776</v>
      </c>
      <c r="H64" s="7" t="s">
        <v>410</v>
      </c>
      <c r="I64" s="7" t="s">
        <v>562</v>
      </c>
      <c r="J64">
        <v>6</v>
      </c>
      <c r="K64" s="7" t="s">
        <v>30</v>
      </c>
      <c r="L64" s="7" t="s">
        <v>412</v>
      </c>
      <c r="M64" s="7" t="s">
        <v>413</v>
      </c>
      <c r="N64" s="7"/>
    </row>
    <row r="65" spans="1:14" hidden="1">
      <c r="A65" s="9" t="s">
        <v>91</v>
      </c>
      <c r="B65" t="str">
        <f>VLOOKUP(WH_Data[[#This Row],[Case Number]],Table2[[CaseNumber]:[Region__c]],1,FALSE)</f>
        <v>17803215</v>
      </c>
      <c r="C65" s="7" t="s">
        <v>422</v>
      </c>
      <c r="D65" s="7" t="s">
        <v>563</v>
      </c>
      <c r="E65" s="7" t="s">
        <v>474</v>
      </c>
      <c r="F65" s="7" t="s">
        <v>11</v>
      </c>
      <c r="G65" s="8">
        <v>45729.546365740738</v>
      </c>
      <c r="H65" s="7" t="s">
        <v>410</v>
      </c>
      <c r="I65" s="7" t="s">
        <v>564</v>
      </c>
      <c r="J65">
        <v>13</v>
      </c>
      <c r="K65" s="7" t="s">
        <v>30</v>
      </c>
      <c r="L65" s="7" t="s">
        <v>412</v>
      </c>
      <c r="M65" s="7" t="s">
        <v>413</v>
      </c>
      <c r="N65" s="7"/>
    </row>
    <row r="66" spans="1:14" hidden="1">
      <c r="A66" s="9" t="s">
        <v>92</v>
      </c>
      <c r="B66" t="str">
        <f>VLOOKUP(WH_Data[[#This Row],[Case Number]],Table2[[CaseNumber]:[Region__c]],1,FALSE)</f>
        <v>17804485</v>
      </c>
      <c r="C66" s="7" t="s">
        <v>422</v>
      </c>
      <c r="D66" s="7" t="s">
        <v>563</v>
      </c>
      <c r="E66" s="7" t="s">
        <v>477</v>
      </c>
      <c r="F66" s="7" t="s">
        <v>11</v>
      </c>
      <c r="G66" s="8">
        <v>45729.564629629633</v>
      </c>
      <c r="H66" s="7" t="s">
        <v>410</v>
      </c>
      <c r="I66" s="7" t="s">
        <v>565</v>
      </c>
      <c r="J66">
        <v>13</v>
      </c>
      <c r="K66" s="7" t="s">
        <v>30</v>
      </c>
      <c r="L66" s="7" t="s">
        <v>412</v>
      </c>
      <c r="M66" s="7" t="s">
        <v>413</v>
      </c>
      <c r="N66" s="7"/>
    </row>
    <row r="67" spans="1:14" hidden="1">
      <c r="A67" s="9" t="s">
        <v>93</v>
      </c>
      <c r="B67" t="str">
        <f>VLOOKUP(WH_Data[[#This Row],[Case Number]],Table2[[CaseNumber]:[Region__c]],1,FALSE)</f>
        <v>17806085</v>
      </c>
      <c r="C67" s="7" t="s">
        <v>407</v>
      </c>
      <c r="D67" s="7" t="s">
        <v>563</v>
      </c>
      <c r="E67" s="7" t="s">
        <v>419</v>
      </c>
      <c r="F67" s="7" t="s">
        <v>44</v>
      </c>
      <c r="G67" s="8">
        <v>45884.641076388885</v>
      </c>
      <c r="H67" s="7" t="s">
        <v>410</v>
      </c>
      <c r="I67" s="7" t="s">
        <v>566</v>
      </c>
      <c r="J67">
        <v>15</v>
      </c>
      <c r="K67" s="7" t="s">
        <v>30</v>
      </c>
      <c r="L67" s="7" t="s">
        <v>412</v>
      </c>
      <c r="M67" s="7" t="s">
        <v>413</v>
      </c>
      <c r="N67" s="7"/>
    </row>
    <row r="68" spans="1:14" hidden="1">
      <c r="A68" s="9" t="s">
        <v>94</v>
      </c>
      <c r="B68" t="str">
        <f>VLOOKUP(WH_Data[[#This Row],[Case Number]],Table2[[CaseNumber]:[Region__c]],1,FALSE)</f>
        <v>17806221</v>
      </c>
      <c r="C68" s="7" t="s">
        <v>407</v>
      </c>
      <c r="D68" s="7" t="s">
        <v>567</v>
      </c>
      <c r="E68" s="7" t="s">
        <v>529</v>
      </c>
      <c r="F68" s="7" t="s">
        <v>17</v>
      </c>
      <c r="G68" s="8">
        <v>45833.589803240742</v>
      </c>
      <c r="H68" s="7" t="s">
        <v>410</v>
      </c>
      <c r="I68" s="7" t="s">
        <v>568</v>
      </c>
      <c r="J68">
        <v>26</v>
      </c>
      <c r="K68" s="7" t="s">
        <v>30</v>
      </c>
      <c r="L68" s="7" t="s">
        <v>412</v>
      </c>
      <c r="M68" s="7" t="s">
        <v>413</v>
      </c>
      <c r="N68" s="7"/>
    </row>
    <row r="69" spans="1:14" hidden="1">
      <c r="A69" s="9" t="s">
        <v>95</v>
      </c>
      <c r="B69" t="str">
        <f>VLOOKUP(WH_Data[[#This Row],[Case Number]],Table2[[CaseNumber]:[Region__c]],1,FALSE)</f>
        <v>17808508</v>
      </c>
      <c r="C69" s="7" t="s">
        <v>422</v>
      </c>
      <c r="D69" s="7" t="s">
        <v>569</v>
      </c>
      <c r="E69" s="7" t="s">
        <v>450</v>
      </c>
      <c r="F69" s="7" t="s">
        <v>11</v>
      </c>
      <c r="G69" s="8">
        <v>45685.58734953704</v>
      </c>
      <c r="H69" s="7" t="s">
        <v>410</v>
      </c>
      <c r="I69" s="7" t="s">
        <v>570</v>
      </c>
      <c r="J69">
        <v>13</v>
      </c>
      <c r="K69" s="7" t="s">
        <v>30</v>
      </c>
      <c r="L69" s="7" t="s">
        <v>412</v>
      </c>
      <c r="M69" s="7" t="s">
        <v>413</v>
      </c>
      <c r="N69" s="7"/>
    </row>
    <row r="70" spans="1:14" hidden="1">
      <c r="A70" s="9" t="s">
        <v>96</v>
      </c>
      <c r="B70" t="str">
        <f>VLOOKUP(WH_Data[[#This Row],[Case Number]],Table2[[CaseNumber]:[Region__c]],1,FALSE)</f>
        <v>17826079</v>
      </c>
      <c r="C70" s="7" t="s">
        <v>407</v>
      </c>
      <c r="D70" s="7" t="s">
        <v>571</v>
      </c>
      <c r="E70" s="7" t="s">
        <v>409</v>
      </c>
      <c r="F70" s="7" t="s">
        <v>11</v>
      </c>
      <c r="G70" s="8">
        <v>45862.578993055555</v>
      </c>
      <c r="H70" s="7" t="s">
        <v>410</v>
      </c>
      <c r="I70" s="7" t="s">
        <v>572</v>
      </c>
      <c r="J70">
        <v>147</v>
      </c>
      <c r="K70" s="7" t="s">
        <v>30</v>
      </c>
      <c r="L70" s="7" t="s">
        <v>412</v>
      </c>
      <c r="M70" s="7" t="s">
        <v>413</v>
      </c>
      <c r="N70" s="7"/>
    </row>
    <row r="71" spans="1:14" hidden="1">
      <c r="A71" s="9" t="s">
        <v>97</v>
      </c>
      <c r="B71" t="str">
        <f>VLOOKUP(WH_Data[[#This Row],[Case Number]],Table2[[CaseNumber]:[Region__c]],1,FALSE)</f>
        <v>17834817</v>
      </c>
      <c r="C71" s="7" t="s">
        <v>422</v>
      </c>
      <c r="D71" s="7" t="s">
        <v>518</v>
      </c>
      <c r="E71" s="7" t="s">
        <v>573</v>
      </c>
      <c r="F71" s="7" t="s">
        <v>17</v>
      </c>
      <c r="G71" s="8">
        <v>45733.837476851855</v>
      </c>
      <c r="H71" s="7" t="s">
        <v>410</v>
      </c>
      <c r="I71" s="7" t="s">
        <v>574</v>
      </c>
      <c r="J71">
        <v>14</v>
      </c>
      <c r="K71" s="7" t="s">
        <v>30</v>
      </c>
      <c r="L71" s="7" t="s">
        <v>412</v>
      </c>
      <c r="M71" s="7" t="s">
        <v>413</v>
      </c>
      <c r="N71" s="7"/>
    </row>
    <row r="72" spans="1:14" hidden="1">
      <c r="A72" s="9" t="s">
        <v>98</v>
      </c>
      <c r="B72" t="str">
        <f>VLOOKUP(WH_Data[[#This Row],[Case Number]],Table2[[CaseNumber]:[Region__c]],1,FALSE)</f>
        <v>17841535</v>
      </c>
      <c r="C72" s="7" t="s">
        <v>414</v>
      </c>
      <c r="D72" s="7" t="s">
        <v>534</v>
      </c>
      <c r="E72" s="7" t="s">
        <v>409</v>
      </c>
      <c r="F72" s="7" t="s">
        <v>11</v>
      </c>
      <c r="G72" s="8">
        <v>45728.288182870368</v>
      </c>
      <c r="H72" s="7" t="s">
        <v>410</v>
      </c>
      <c r="I72" s="7" t="s">
        <v>575</v>
      </c>
      <c r="J72">
        <v>13</v>
      </c>
      <c r="K72" s="7" t="s">
        <v>30</v>
      </c>
      <c r="L72" s="7" t="s">
        <v>412</v>
      </c>
      <c r="M72" s="7" t="s">
        <v>413</v>
      </c>
      <c r="N72" s="7"/>
    </row>
    <row r="73" spans="1:14" hidden="1">
      <c r="A73" s="9" t="s">
        <v>99</v>
      </c>
      <c r="B73" t="str">
        <f>VLOOKUP(WH_Data[[#This Row],[Case Number]],Table2[[CaseNumber]:[Region__c]],1,FALSE)</f>
        <v>17842403</v>
      </c>
      <c r="C73" s="7" t="s">
        <v>422</v>
      </c>
      <c r="D73" s="7" t="s">
        <v>518</v>
      </c>
      <c r="E73" s="7" t="s">
        <v>576</v>
      </c>
      <c r="F73" s="7" t="s">
        <v>17</v>
      </c>
      <c r="G73" s="8">
        <v>45694.476979166669</v>
      </c>
      <c r="H73" s="7" t="s">
        <v>410</v>
      </c>
      <c r="I73" s="7" t="s">
        <v>577</v>
      </c>
      <c r="J73">
        <v>16</v>
      </c>
      <c r="K73" s="7" t="s">
        <v>30</v>
      </c>
      <c r="L73" s="7" t="s">
        <v>412</v>
      </c>
      <c r="M73" s="7" t="s">
        <v>413</v>
      </c>
      <c r="N73" s="7"/>
    </row>
    <row r="74" spans="1:14" hidden="1">
      <c r="A74" s="9" t="s">
        <v>100</v>
      </c>
      <c r="B74" t="str">
        <f>VLOOKUP(WH_Data[[#This Row],[Case Number]],Table2[[CaseNumber]:[Region__c]],1,FALSE)</f>
        <v>17845248</v>
      </c>
      <c r="C74" s="7" t="s">
        <v>414</v>
      </c>
      <c r="D74" s="7" t="s">
        <v>578</v>
      </c>
      <c r="E74" s="7" t="s">
        <v>450</v>
      </c>
      <c r="F74" s="7" t="s">
        <v>11</v>
      </c>
      <c r="G74" s="8">
        <v>45686.750636574077</v>
      </c>
      <c r="H74" s="7" t="s">
        <v>410</v>
      </c>
      <c r="I74" s="7" t="s">
        <v>579</v>
      </c>
      <c r="J74">
        <v>8</v>
      </c>
      <c r="K74" s="7" t="s">
        <v>30</v>
      </c>
      <c r="L74" s="7" t="s">
        <v>412</v>
      </c>
      <c r="M74" s="7" t="s">
        <v>413</v>
      </c>
      <c r="N74" s="7"/>
    </row>
    <row r="75" spans="1:14" hidden="1">
      <c r="A75" s="9" t="s">
        <v>101</v>
      </c>
      <c r="B75" t="str">
        <f>VLOOKUP(WH_Data[[#This Row],[Case Number]],Table2[[CaseNumber]:[Region__c]],1,FALSE)</f>
        <v>17845637</v>
      </c>
      <c r="C75" s="7" t="s">
        <v>414</v>
      </c>
      <c r="D75" s="7" t="s">
        <v>580</v>
      </c>
      <c r="E75" s="7" t="s">
        <v>503</v>
      </c>
      <c r="F75" s="7" t="s">
        <v>15</v>
      </c>
      <c r="G75" s="8">
        <v>45765.457083333335</v>
      </c>
      <c r="H75" s="7" t="s">
        <v>410</v>
      </c>
      <c r="I75" s="7" t="s">
        <v>581</v>
      </c>
      <c r="J75">
        <v>9</v>
      </c>
      <c r="K75" s="7" t="s">
        <v>30</v>
      </c>
      <c r="L75" s="7" t="s">
        <v>412</v>
      </c>
      <c r="M75" s="7" t="s">
        <v>413</v>
      </c>
      <c r="N75" s="7"/>
    </row>
    <row r="76" spans="1:14" hidden="1">
      <c r="A76" s="9" t="s">
        <v>102</v>
      </c>
      <c r="B76" t="str">
        <f>VLOOKUP(WH_Data[[#This Row],[Case Number]],Table2[[CaseNumber]:[Region__c]],1,FALSE)</f>
        <v>17848860</v>
      </c>
      <c r="C76" s="7" t="s">
        <v>422</v>
      </c>
      <c r="D76" s="7" t="s">
        <v>549</v>
      </c>
      <c r="E76" s="7" t="s">
        <v>496</v>
      </c>
      <c r="F76" s="7" t="s">
        <v>19</v>
      </c>
      <c r="G76" s="8">
        <v>45791.49255787037</v>
      </c>
      <c r="H76" s="7" t="s">
        <v>410</v>
      </c>
      <c r="I76" s="7" t="s">
        <v>582</v>
      </c>
      <c r="J76">
        <v>8</v>
      </c>
      <c r="K76" s="7" t="s">
        <v>30</v>
      </c>
      <c r="L76" s="7" t="s">
        <v>412</v>
      </c>
      <c r="M76" s="7" t="s">
        <v>413</v>
      </c>
      <c r="N76" s="7"/>
    </row>
    <row r="77" spans="1:14" hidden="1">
      <c r="A77" s="9" t="s">
        <v>103</v>
      </c>
      <c r="B77" t="str">
        <f>VLOOKUP(WH_Data[[#This Row],[Case Number]],Table2[[CaseNumber]:[Region__c]],1,FALSE)</f>
        <v>17849735</v>
      </c>
      <c r="C77" s="7" t="s">
        <v>407</v>
      </c>
      <c r="D77" s="7" t="s">
        <v>583</v>
      </c>
      <c r="E77" s="7" t="s">
        <v>555</v>
      </c>
      <c r="F77" s="7" t="s">
        <v>17</v>
      </c>
      <c r="G77" s="8">
        <v>45763.3828125</v>
      </c>
      <c r="H77" s="7" t="s">
        <v>410</v>
      </c>
      <c r="I77" s="7" t="s">
        <v>584</v>
      </c>
      <c r="J77">
        <v>15</v>
      </c>
      <c r="K77" s="7" t="s">
        <v>30</v>
      </c>
      <c r="L77" s="7" t="s">
        <v>412</v>
      </c>
      <c r="M77" s="7" t="s">
        <v>413</v>
      </c>
      <c r="N77" s="7"/>
    </row>
    <row r="78" spans="1:14" hidden="1">
      <c r="A78" s="9" t="s">
        <v>104</v>
      </c>
      <c r="B78" t="str">
        <f>VLOOKUP(WH_Data[[#This Row],[Case Number]],Table2[[CaseNumber]:[Region__c]],1,FALSE)</f>
        <v>17850544</v>
      </c>
      <c r="C78" s="7" t="s">
        <v>422</v>
      </c>
      <c r="D78" s="7" t="s">
        <v>585</v>
      </c>
      <c r="E78" s="7" t="s">
        <v>573</v>
      </c>
      <c r="F78" s="7" t="s">
        <v>17</v>
      </c>
      <c r="G78" s="8">
        <v>45743.819212962961</v>
      </c>
      <c r="H78" s="7" t="s">
        <v>410</v>
      </c>
      <c r="I78" s="7" t="s">
        <v>586</v>
      </c>
      <c r="J78">
        <v>14</v>
      </c>
      <c r="K78" s="7" t="s">
        <v>30</v>
      </c>
      <c r="L78" s="7" t="s">
        <v>412</v>
      </c>
      <c r="M78" s="7" t="s">
        <v>413</v>
      </c>
      <c r="N78" s="7"/>
    </row>
    <row r="79" spans="1:14" hidden="1">
      <c r="A79" s="9" t="s">
        <v>105</v>
      </c>
      <c r="B79" t="str">
        <f>VLOOKUP(WH_Data[[#This Row],[Case Number]],Table2[[CaseNumber]:[Region__c]],1,FALSE)</f>
        <v>17863050</v>
      </c>
      <c r="C79" s="7" t="s">
        <v>414</v>
      </c>
      <c r="D79" s="7" t="s">
        <v>587</v>
      </c>
      <c r="E79" s="7" t="s">
        <v>588</v>
      </c>
      <c r="F79" s="7" t="s">
        <v>17</v>
      </c>
      <c r="G79" s="8">
        <v>45778.312986111108</v>
      </c>
      <c r="H79" s="7" t="s">
        <v>410</v>
      </c>
      <c r="I79" s="7" t="s">
        <v>589</v>
      </c>
      <c r="J79">
        <v>10</v>
      </c>
      <c r="K79" s="7" t="s">
        <v>30</v>
      </c>
      <c r="L79" s="7" t="s">
        <v>412</v>
      </c>
      <c r="M79" s="7" t="s">
        <v>413</v>
      </c>
      <c r="N79" s="7"/>
    </row>
    <row r="80" spans="1:14" hidden="1">
      <c r="A80" s="9" t="s">
        <v>106</v>
      </c>
      <c r="B80" t="str">
        <f>VLOOKUP(WH_Data[[#This Row],[Case Number]],Table2[[CaseNumber]:[Region__c]],1,FALSE)</f>
        <v>17870979</v>
      </c>
      <c r="C80" s="7" t="s">
        <v>414</v>
      </c>
      <c r="D80" s="7" t="s">
        <v>587</v>
      </c>
      <c r="E80" s="7" t="s">
        <v>419</v>
      </c>
      <c r="F80" s="7" t="s">
        <v>17</v>
      </c>
      <c r="G80" s="8">
        <v>45782.256319444445</v>
      </c>
      <c r="H80" s="7" t="s">
        <v>410</v>
      </c>
      <c r="I80" s="7" t="s">
        <v>590</v>
      </c>
      <c r="J80">
        <v>14</v>
      </c>
      <c r="K80" s="7" t="s">
        <v>30</v>
      </c>
      <c r="L80" s="7" t="s">
        <v>412</v>
      </c>
      <c r="M80" s="7" t="s">
        <v>413</v>
      </c>
      <c r="N80" s="7"/>
    </row>
    <row r="81" spans="1:14" hidden="1">
      <c r="A81" s="9" t="s">
        <v>107</v>
      </c>
      <c r="B81" t="str">
        <f>VLOOKUP(WH_Data[[#This Row],[Case Number]],Table2[[CaseNumber]:[Region__c]],1,FALSE)</f>
        <v>17871027</v>
      </c>
      <c r="C81" s="7" t="s">
        <v>414</v>
      </c>
      <c r="D81" s="7" t="s">
        <v>587</v>
      </c>
      <c r="E81" s="7" t="s">
        <v>460</v>
      </c>
      <c r="F81" s="7" t="s">
        <v>17</v>
      </c>
      <c r="G81" s="8">
        <v>45778.28229166667</v>
      </c>
      <c r="H81" s="7" t="s">
        <v>410</v>
      </c>
      <c r="I81" s="7" t="s">
        <v>591</v>
      </c>
      <c r="J81">
        <v>10</v>
      </c>
      <c r="K81" s="7" t="s">
        <v>30</v>
      </c>
      <c r="L81" s="7" t="s">
        <v>412</v>
      </c>
      <c r="M81" s="7" t="s">
        <v>413</v>
      </c>
      <c r="N81" s="7"/>
    </row>
    <row r="82" spans="1:14" hidden="1">
      <c r="A82" s="9" t="s">
        <v>108</v>
      </c>
      <c r="B82" t="str">
        <f>VLOOKUP(WH_Data[[#This Row],[Case Number]],Table2[[CaseNumber]:[Region__c]],1,FALSE)</f>
        <v>17871110</v>
      </c>
      <c r="C82" s="7" t="s">
        <v>414</v>
      </c>
      <c r="D82" s="7" t="s">
        <v>587</v>
      </c>
      <c r="E82" s="7" t="s">
        <v>484</v>
      </c>
      <c r="F82" s="7" t="s">
        <v>17</v>
      </c>
      <c r="G82" s="8">
        <v>45783.613506944443</v>
      </c>
      <c r="H82" s="7" t="s">
        <v>410</v>
      </c>
      <c r="I82" s="7" t="s">
        <v>592</v>
      </c>
      <c r="J82">
        <v>15</v>
      </c>
      <c r="K82" s="7" t="s">
        <v>30</v>
      </c>
      <c r="L82" s="7" t="s">
        <v>412</v>
      </c>
      <c r="M82" s="7" t="s">
        <v>413</v>
      </c>
      <c r="N82" s="7"/>
    </row>
    <row r="83" spans="1:14" hidden="1">
      <c r="A83" s="9" t="s">
        <v>109</v>
      </c>
      <c r="B83" t="str">
        <f>VLOOKUP(WH_Data[[#This Row],[Case Number]],Table2[[CaseNumber]:[Region__c]],1,FALSE)</f>
        <v>17871389</v>
      </c>
      <c r="C83" s="7" t="s">
        <v>414</v>
      </c>
      <c r="D83" s="7" t="s">
        <v>587</v>
      </c>
      <c r="E83" s="7" t="s">
        <v>514</v>
      </c>
      <c r="F83" s="7" t="s">
        <v>17</v>
      </c>
      <c r="G83" s="8">
        <v>45778.299351851849</v>
      </c>
      <c r="H83" s="7" t="s">
        <v>410</v>
      </c>
      <c r="I83" s="7" t="s">
        <v>593</v>
      </c>
      <c r="J83">
        <v>10</v>
      </c>
      <c r="K83" s="7" t="s">
        <v>30</v>
      </c>
      <c r="L83" s="7" t="s">
        <v>412</v>
      </c>
      <c r="M83" s="7" t="s">
        <v>413</v>
      </c>
      <c r="N83" s="7"/>
    </row>
    <row r="84" spans="1:14" hidden="1">
      <c r="A84" s="9" t="s">
        <v>110</v>
      </c>
      <c r="B84" t="str">
        <f>VLOOKUP(WH_Data[[#This Row],[Case Number]],Table2[[CaseNumber]:[Region__c]],1,FALSE)</f>
        <v>17871411</v>
      </c>
      <c r="C84" s="7" t="s">
        <v>414</v>
      </c>
      <c r="D84" s="7" t="s">
        <v>587</v>
      </c>
      <c r="E84" s="7" t="s">
        <v>409</v>
      </c>
      <c r="F84" s="7" t="s">
        <v>17</v>
      </c>
      <c r="G84" s="8">
        <v>45810.304097222222</v>
      </c>
      <c r="H84" s="7" t="s">
        <v>410</v>
      </c>
      <c r="I84" s="7" t="s">
        <v>594</v>
      </c>
      <c r="J84">
        <v>41</v>
      </c>
      <c r="K84" s="7" t="s">
        <v>30</v>
      </c>
      <c r="L84" s="7" t="s">
        <v>412</v>
      </c>
      <c r="M84" s="7" t="s">
        <v>413</v>
      </c>
      <c r="N84" s="7"/>
    </row>
    <row r="85" spans="1:14" hidden="1">
      <c r="A85" s="9" t="s">
        <v>111</v>
      </c>
      <c r="B85" t="str">
        <f>VLOOKUP(WH_Data[[#This Row],[Case Number]],Table2[[CaseNumber]:[Region__c]],1,FALSE)</f>
        <v>17892525</v>
      </c>
      <c r="C85" s="7" t="s">
        <v>407</v>
      </c>
      <c r="D85" s="7" t="s">
        <v>595</v>
      </c>
      <c r="E85" s="7" t="s">
        <v>596</v>
      </c>
      <c r="F85" s="7" t="s">
        <v>11</v>
      </c>
      <c r="G85" s="8">
        <v>45729.721666666665</v>
      </c>
      <c r="H85" s="7" t="s">
        <v>410</v>
      </c>
      <c r="I85" s="7" t="s">
        <v>597</v>
      </c>
      <c r="J85">
        <v>20</v>
      </c>
      <c r="K85" s="7" t="s">
        <v>30</v>
      </c>
      <c r="L85" s="7" t="s">
        <v>412</v>
      </c>
      <c r="M85" s="7" t="s">
        <v>413</v>
      </c>
      <c r="N85" s="7"/>
    </row>
    <row r="86" spans="1:14" hidden="1">
      <c r="A86" s="9" t="s">
        <v>112</v>
      </c>
      <c r="B86" t="str">
        <f>VLOOKUP(WH_Data[[#This Row],[Case Number]],Table2[[CaseNumber]:[Region__c]],1,FALSE)</f>
        <v>17915351</v>
      </c>
      <c r="C86" s="7" t="s">
        <v>422</v>
      </c>
      <c r="D86" s="7" t="s">
        <v>598</v>
      </c>
      <c r="E86" s="7" t="s">
        <v>599</v>
      </c>
      <c r="F86" s="7" t="s">
        <v>11</v>
      </c>
      <c r="G86" s="8">
        <v>45723.592939814815</v>
      </c>
      <c r="H86" s="7" t="s">
        <v>410</v>
      </c>
      <c r="I86" s="7" t="s">
        <v>600</v>
      </c>
      <c r="J86">
        <v>2</v>
      </c>
      <c r="K86" s="7" t="s">
        <v>30</v>
      </c>
      <c r="L86" s="7" t="s">
        <v>412</v>
      </c>
      <c r="M86" s="7" t="s">
        <v>413</v>
      </c>
      <c r="N86" s="7"/>
    </row>
    <row r="87" spans="1:14" hidden="1">
      <c r="A87" s="9" t="s">
        <v>113</v>
      </c>
      <c r="B87" t="str">
        <f>VLOOKUP(WH_Data[[#This Row],[Case Number]],Table2[[CaseNumber]:[Region__c]],1,FALSE)</f>
        <v>17924595</v>
      </c>
      <c r="C87" s="7" t="s">
        <v>422</v>
      </c>
      <c r="D87" s="7" t="s">
        <v>598</v>
      </c>
      <c r="E87" s="7" t="s">
        <v>450</v>
      </c>
      <c r="F87" s="7" t="s">
        <v>11</v>
      </c>
      <c r="G87" s="8">
        <v>45729.595081018517</v>
      </c>
      <c r="H87" s="7" t="s">
        <v>410</v>
      </c>
      <c r="I87" s="7" t="s">
        <v>601</v>
      </c>
      <c r="J87">
        <v>13</v>
      </c>
      <c r="K87" s="7" t="s">
        <v>30</v>
      </c>
      <c r="L87" s="7" t="s">
        <v>412</v>
      </c>
      <c r="M87" s="7" t="s">
        <v>413</v>
      </c>
      <c r="N87" s="7"/>
    </row>
    <row r="88" spans="1:14" hidden="1">
      <c r="A88" s="9" t="s">
        <v>114</v>
      </c>
      <c r="B88" t="str">
        <f>VLOOKUP(WH_Data[[#This Row],[Case Number]],Table2[[CaseNumber]:[Region__c]],1,FALSE)</f>
        <v>17928931</v>
      </c>
      <c r="C88" s="7" t="s">
        <v>407</v>
      </c>
      <c r="D88" s="7" t="s">
        <v>518</v>
      </c>
      <c r="E88" s="7" t="s">
        <v>529</v>
      </c>
      <c r="F88" s="7" t="s">
        <v>46</v>
      </c>
      <c r="G88" s="8">
        <v>45789.559918981482</v>
      </c>
      <c r="H88" s="7" t="s">
        <v>410</v>
      </c>
      <c r="I88" s="7" t="s">
        <v>602</v>
      </c>
      <c r="J88">
        <v>10</v>
      </c>
      <c r="K88" s="7" t="s">
        <v>30</v>
      </c>
      <c r="L88" s="7" t="s">
        <v>412</v>
      </c>
      <c r="M88" s="7" t="s">
        <v>413</v>
      </c>
      <c r="N88" s="7"/>
    </row>
    <row r="89" spans="1:14" hidden="1">
      <c r="A89" s="9" t="s">
        <v>115</v>
      </c>
      <c r="B89" t="str">
        <f>VLOOKUP(WH_Data[[#This Row],[Case Number]],Table2[[CaseNumber]:[Region__c]],1,FALSE)</f>
        <v>17928935</v>
      </c>
      <c r="C89" s="7" t="s">
        <v>407</v>
      </c>
      <c r="D89" s="7" t="s">
        <v>518</v>
      </c>
      <c r="E89" s="7" t="s">
        <v>419</v>
      </c>
      <c r="F89" s="7" t="s">
        <v>46</v>
      </c>
      <c r="G89" s="8">
        <v>45756.380902777775</v>
      </c>
      <c r="H89" s="7" t="s">
        <v>410</v>
      </c>
      <c r="I89" s="7" t="s">
        <v>603</v>
      </c>
      <c r="J89">
        <v>13</v>
      </c>
      <c r="K89" s="7" t="s">
        <v>30</v>
      </c>
      <c r="L89" s="7" t="s">
        <v>412</v>
      </c>
      <c r="M89" s="7" t="s">
        <v>413</v>
      </c>
      <c r="N89" s="7"/>
    </row>
    <row r="90" spans="1:14" hidden="1">
      <c r="A90" s="9" t="s">
        <v>116</v>
      </c>
      <c r="B90" t="str">
        <f>VLOOKUP(WH_Data[[#This Row],[Case Number]],Table2[[CaseNumber]:[Region__c]],1,FALSE)</f>
        <v>17935880</v>
      </c>
      <c r="C90" s="7" t="s">
        <v>407</v>
      </c>
      <c r="D90" s="7" t="s">
        <v>604</v>
      </c>
      <c r="E90" s="7" t="s">
        <v>476</v>
      </c>
      <c r="F90" s="7" t="s">
        <v>19</v>
      </c>
      <c r="G90" s="8">
        <v>45756.435972222222</v>
      </c>
      <c r="H90" s="7" t="s">
        <v>410</v>
      </c>
      <c r="I90" s="7" t="s">
        <v>605</v>
      </c>
      <c r="J90">
        <v>5</v>
      </c>
      <c r="K90" s="7" t="s">
        <v>30</v>
      </c>
      <c r="L90" s="7" t="s">
        <v>412</v>
      </c>
      <c r="M90" s="7" t="s">
        <v>413</v>
      </c>
      <c r="N90" s="7"/>
    </row>
    <row r="91" spans="1:14" hidden="1">
      <c r="A91" s="9" t="s">
        <v>117</v>
      </c>
      <c r="B91" t="str">
        <f>VLOOKUP(WH_Data[[#This Row],[Case Number]],Table2[[CaseNumber]:[Region__c]],1,FALSE)</f>
        <v>17947835</v>
      </c>
      <c r="C91" s="7" t="s">
        <v>407</v>
      </c>
      <c r="D91" s="7" t="s">
        <v>606</v>
      </c>
      <c r="E91" s="7" t="s">
        <v>443</v>
      </c>
      <c r="F91" s="7" t="s">
        <v>19</v>
      </c>
      <c r="G91" s="8">
        <v>45783.313668981478</v>
      </c>
      <c r="H91" s="7" t="s">
        <v>410</v>
      </c>
      <c r="I91" s="7" t="s">
        <v>607</v>
      </c>
      <c r="J91">
        <v>14</v>
      </c>
      <c r="K91" s="7" t="s">
        <v>30</v>
      </c>
      <c r="L91" s="7" t="s">
        <v>412</v>
      </c>
      <c r="M91" s="7" t="s">
        <v>413</v>
      </c>
      <c r="N91" s="7"/>
    </row>
    <row r="92" spans="1:14" hidden="1">
      <c r="A92" s="9" t="s">
        <v>118</v>
      </c>
      <c r="B92" t="str">
        <f>VLOOKUP(WH_Data[[#This Row],[Case Number]],Table2[[CaseNumber]:[Region__c]],1,FALSE)</f>
        <v>17950855</v>
      </c>
      <c r="C92" s="7" t="s">
        <v>407</v>
      </c>
      <c r="D92" s="7" t="s">
        <v>608</v>
      </c>
      <c r="E92" s="7" t="s">
        <v>474</v>
      </c>
      <c r="F92" s="7" t="s">
        <v>11</v>
      </c>
      <c r="G92" s="8">
        <v>45833.818553240744</v>
      </c>
      <c r="H92" s="7" t="s">
        <v>410</v>
      </c>
      <c r="I92" s="7" t="s">
        <v>609</v>
      </c>
      <c r="J92">
        <v>15</v>
      </c>
      <c r="K92" s="7" t="s">
        <v>30</v>
      </c>
      <c r="L92" s="7" t="s">
        <v>412</v>
      </c>
      <c r="M92" s="7" t="s">
        <v>413</v>
      </c>
      <c r="N92" s="7"/>
    </row>
    <row r="93" spans="1:14" hidden="1">
      <c r="A93" s="9" t="s">
        <v>119</v>
      </c>
      <c r="B93" t="str">
        <f>VLOOKUP(WH_Data[[#This Row],[Case Number]],Table2[[CaseNumber]:[Region__c]],1,FALSE)</f>
        <v>17974379</v>
      </c>
      <c r="C93" s="7" t="s">
        <v>407</v>
      </c>
      <c r="D93" s="7" t="s">
        <v>610</v>
      </c>
      <c r="E93" s="7" t="s">
        <v>509</v>
      </c>
      <c r="F93" s="7" t="s">
        <v>11</v>
      </c>
      <c r="G93" s="8">
        <v>45807.341562499998</v>
      </c>
      <c r="H93" s="7" t="s">
        <v>410</v>
      </c>
      <c r="I93" s="7" t="s">
        <v>611</v>
      </c>
      <c r="J93">
        <v>11</v>
      </c>
      <c r="K93" s="7" t="s">
        <v>30</v>
      </c>
      <c r="L93" s="7" t="s">
        <v>412</v>
      </c>
      <c r="M93" s="7" t="s">
        <v>413</v>
      </c>
      <c r="N93" s="7"/>
    </row>
    <row r="94" spans="1:14" hidden="1">
      <c r="A94" s="9" t="s">
        <v>120</v>
      </c>
      <c r="B94" t="str">
        <f>VLOOKUP(WH_Data[[#This Row],[Case Number]],Table2[[CaseNumber]:[Region__c]],1,FALSE)</f>
        <v>17974726</v>
      </c>
      <c r="C94" s="7" t="s">
        <v>407</v>
      </c>
      <c r="D94" s="7" t="s">
        <v>518</v>
      </c>
      <c r="E94" s="7" t="s">
        <v>484</v>
      </c>
      <c r="F94" s="7" t="s">
        <v>17</v>
      </c>
      <c r="G94" s="8">
        <v>45715.419039351851</v>
      </c>
      <c r="H94" s="7" t="s">
        <v>410</v>
      </c>
      <c r="I94" s="7" t="s">
        <v>612</v>
      </c>
      <c r="J94">
        <v>15</v>
      </c>
      <c r="K94" s="7" t="s">
        <v>30</v>
      </c>
      <c r="L94" s="7" t="s">
        <v>412</v>
      </c>
      <c r="M94" s="7" t="s">
        <v>413</v>
      </c>
      <c r="N94" s="7"/>
    </row>
    <row r="95" spans="1:14" hidden="1">
      <c r="A95" s="9" t="s">
        <v>121</v>
      </c>
      <c r="B95" t="str">
        <f>VLOOKUP(WH_Data[[#This Row],[Case Number]],Table2[[CaseNumber]:[Region__c]],1,FALSE)</f>
        <v>17974771</v>
      </c>
      <c r="C95" s="7" t="s">
        <v>407</v>
      </c>
      <c r="D95" s="7" t="s">
        <v>518</v>
      </c>
      <c r="E95" s="7" t="s">
        <v>477</v>
      </c>
      <c r="F95" s="7" t="s">
        <v>17</v>
      </c>
      <c r="G95" s="8">
        <v>45714.694085648145</v>
      </c>
      <c r="H95" s="7" t="s">
        <v>410</v>
      </c>
      <c r="I95" s="7" t="s">
        <v>613</v>
      </c>
      <c r="J95">
        <v>15</v>
      </c>
      <c r="K95" s="7" t="s">
        <v>30</v>
      </c>
      <c r="L95" s="7" t="s">
        <v>412</v>
      </c>
      <c r="M95" s="7" t="s">
        <v>413</v>
      </c>
      <c r="N95" s="7"/>
    </row>
    <row r="96" spans="1:14" hidden="1">
      <c r="A96" s="9" t="s">
        <v>122</v>
      </c>
      <c r="B96" t="str">
        <f>VLOOKUP(WH_Data[[#This Row],[Case Number]],Table2[[CaseNumber]:[Region__c]],1,FALSE)</f>
        <v>17979573</v>
      </c>
      <c r="C96" s="7" t="s">
        <v>422</v>
      </c>
      <c r="D96" s="7" t="s">
        <v>614</v>
      </c>
      <c r="E96" s="7" t="s">
        <v>546</v>
      </c>
      <c r="F96" s="7" t="s">
        <v>19</v>
      </c>
      <c r="G96" s="8">
        <v>45807.725532407407</v>
      </c>
      <c r="H96" s="7" t="s">
        <v>410</v>
      </c>
      <c r="I96" s="7" t="s">
        <v>615</v>
      </c>
      <c r="J96">
        <v>10</v>
      </c>
      <c r="K96" s="7" t="s">
        <v>30</v>
      </c>
      <c r="L96" s="7" t="s">
        <v>412</v>
      </c>
      <c r="M96" s="7" t="s">
        <v>413</v>
      </c>
      <c r="N96" s="7"/>
    </row>
    <row r="97" spans="1:14" hidden="1">
      <c r="A97" s="9" t="s">
        <v>123</v>
      </c>
      <c r="B97" t="str">
        <f>VLOOKUP(WH_Data[[#This Row],[Case Number]],Table2[[CaseNumber]:[Region__c]],1,FALSE)</f>
        <v>17983312</v>
      </c>
      <c r="C97" s="7" t="s">
        <v>422</v>
      </c>
      <c r="D97" s="7" t="s">
        <v>614</v>
      </c>
      <c r="E97" s="7" t="s">
        <v>616</v>
      </c>
      <c r="F97" s="7" t="s">
        <v>19</v>
      </c>
      <c r="G97" s="8">
        <v>45775.374398148146</v>
      </c>
      <c r="H97" s="7" t="s">
        <v>410</v>
      </c>
      <c r="I97" s="7" t="s">
        <v>617</v>
      </c>
      <c r="J97">
        <v>42</v>
      </c>
      <c r="K97" s="7" t="s">
        <v>30</v>
      </c>
      <c r="L97" s="7" t="s">
        <v>412</v>
      </c>
      <c r="M97" s="7" t="s">
        <v>413</v>
      </c>
      <c r="N97" s="7"/>
    </row>
    <row r="98" spans="1:14" hidden="1">
      <c r="A98" s="9" t="s">
        <v>124</v>
      </c>
      <c r="B98" t="str">
        <f>VLOOKUP(WH_Data[[#This Row],[Case Number]],Table2[[CaseNumber]:[Region__c]],1,FALSE)</f>
        <v>17983433</v>
      </c>
      <c r="C98" s="7" t="s">
        <v>407</v>
      </c>
      <c r="D98" s="7" t="s">
        <v>618</v>
      </c>
      <c r="E98" s="7" t="s">
        <v>619</v>
      </c>
      <c r="F98" s="7" t="s">
        <v>11</v>
      </c>
      <c r="G98" s="8">
        <v>45807.616296296299</v>
      </c>
      <c r="H98" s="7" t="s">
        <v>410</v>
      </c>
      <c r="I98" s="7" t="s">
        <v>620</v>
      </c>
      <c r="J98">
        <v>7</v>
      </c>
      <c r="K98" s="7" t="s">
        <v>30</v>
      </c>
      <c r="L98" s="7" t="s">
        <v>412</v>
      </c>
      <c r="M98" s="7" t="s">
        <v>413</v>
      </c>
      <c r="N98" s="7"/>
    </row>
    <row r="99" spans="1:14" hidden="1">
      <c r="A99" s="9" t="s">
        <v>125</v>
      </c>
      <c r="B99" t="str">
        <f>VLOOKUP(WH_Data[[#This Row],[Case Number]],Table2[[CaseNumber]:[Region__c]],1,FALSE)</f>
        <v>17984305</v>
      </c>
      <c r="C99" s="7" t="s">
        <v>414</v>
      </c>
      <c r="D99" s="7" t="s">
        <v>502</v>
      </c>
      <c r="E99" s="7" t="s">
        <v>621</v>
      </c>
      <c r="F99" s="7" t="s">
        <v>17</v>
      </c>
      <c r="G99" s="8">
        <v>45715.765243055554</v>
      </c>
      <c r="H99" s="7" t="s">
        <v>410</v>
      </c>
      <c r="I99" s="7" t="s">
        <v>622</v>
      </c>
      <c r="J99">
        <v>13</v>
      </c>
      <c r="K99" s="7" t="s">
        <v>30</v>
      </c>
      <c r="L99" s="7" t="s">
        <v>412</v>
      </c>
      <c r="M99" s="7" t="s">
        <v>413</v>
      </c>
      <c r="N99" s="7"/>
    </row>
    <row r="100" spans="1:14" hidden="1">
      <c r="A100" s="9" t="s">
        <v>126</v>
      </c>
      <c r="B100" t="str">
        <f>VLOOKUP(WH_Data[[#This Row],[Case Number]],Table2[[CaseNumber]:[Region__c]],1,FALSE)</f>
        <v>17993507</v>
      </c>
      <c r="C100" s="7" t="s">
        <v>422</v>
      </c>
      <c r="D100" s="7" t="s">
        <v>623</v>
      </c>
      <c r="E100" s="7" t="s">
        <v>624</v>
      </c>
      <c r="F100" s="7" t="s">
        <v>11</v>
      </c>
      <c r="G100" s="8">
        <v>45812.487997685188</v>
      </c>
      <c r="H100" s="7" t="s">
        <v>410</v>
      </c>
      <c r="I100" s="7" t="s">
        <v>625</v>
      </c>
      <c r="J100">
        <v>15</v>
      </c>
      <c r="K100" s="7" t="s">
        <v>30</v>
      </c>
      <c r="L100" s="7" t="s">
        <v>412</v>
      </c>
      <c r="M100" s="7" t="s">
        <v>413</v>
      </c>
      <c r="N100" s="7"/>
    </row>
    <row r="101" spans="1:14" hidden="1">
      <c r="A101" s="9" t="s">
        <v>127</v>
      </c>
      <c r="B101" t="str">
        <f>VLOOKUP(WH_Data[[#This Row],[Case Number]],Table2[[CaseNumber]:[Region__c]],1,FALSE)</f>
        <v>17993632</v>
      </c>
      <c r="C101" s="7" t="s">
        <v>422</v>
      </c>
      <c r="D101" s="7" t="s">
        <v>623</v>
      </c>
      <c r="E101" s="7" t="s">
        <v>446</v>
      </c>
      <c r="F101" s="7" t="s">
        <v>11</v>
      </c>
      <c r="G101" s="8">
        <v>45804.460266203707</v>
      </c>
      <c r="H101" s="7" t="s">
        <v>410</v>
      </c>
      <c r="I101" s="7" t="s">
        <v>626</v>
      </c>
      <c r="J101">
        <v>26</v>
      </c>
      <c r="K101" s="7" t="s">
        <v>30</v>
      </c>
      <c r="L101" s="7" t="s">
        <v>412</v>
      </c>
      <c r="M101" s="7" t="s">
        <v>413</v>
      </c>
      <c r="N101" s="7"/>
    </row>
    <row r="102" spans="1:14" hidden="1">
      <c r="A102" s="9" t="s">
        <v>128</v>
      </c>
      <c r="B102" t="str">
        <f>VLOOKUP(WH_Data[[#This Row],[Case Number]],Table2[[CaseNumber]:[Region__c]],1,FALSE)</f>
        <v>17993736</v>
      </c>
      <c r="C102" s="7" t="s">
        <v>422</v>
      </c>
      <c r="D102" s="7" t="s">
        <v>623</v>
      </c>
      <c r="E102" s="7" t="s">
        <v>627</v>
      </c>
      <c r="F102" s="7" t="s">
        <v>11</v>
      </c>
      <c r="G102" s="8">
        <v>45812.518263888887</v>
      </c>
      <c r="H102" s="7" t="s">
        <v>410</v>
      </c>
      <c r="I102" s="7" t="s">
        <v>628</v>
      </c>
      <c r="J102">
        <v>26</v>
      </c>
      <c r="K102" s="7" t="s">
        <v>30</v>
      </c>
      <c r="L102" s="7" t="s">
        <v>412</v>
      </c>
      <c r="M102" s="7" t="s">
        <v>413</v>
      </c>
      <c r="N102" s="7"/>
    </row>
    <row r="103" spans="1:14" hidden="1">
      <c r="A103" s="9" t="s">
        <v>129</v>
      </c>
      <c r="B103" t="str">
        <f>VLOOKUP(WH_Data[[#This Row],[Case Number]],Table2[[CaseNumber]:[Region__c]],1,FALSE)</f>
        <v>18001792</v>
      </c>
      <c r="C103" s="7" t="s">
        <v>414</v>
      </c>
      <c r="D103" s="7" t="s">
        <v>518</v>
      </c>
      <c r="E103" s="7" t="s">
        <v>409</v>
      </c>
      <c r="F103" s="7" t="s">
        <v>17</v>
      </c>
      <c r="G103" s="8">
        <v>45706.427175925928</v>
      </c>
      <c r="H103" s="7" t="s">
        <v>410</v>
      </c>
      <c r="I103" s="7" t="s">
        <v>629</v>
      </c>
      <c r="J103">
        <v>7</v>
      </c>
      <c r="K103" s="7" t="s">
        <v>30</v>
      </c>
      <c r="L103" s="7" t="s">
        <v>412</v>
      </c>
      <c r="M103" s="7" t="s">
        <v>413</v>
      </c>
      <c r="N103" s="7"/>
    </row>
    <row r="104" spans="1:14" hidden="1">
      <c r="A104" s="9" t="s">
        <v>130</v>
      </c>
      <c r="B104" t="str">
        <f>VLOOKUP(WH_Data[[#This Row],[Case Number]],Table2[[CaseNumber]:[Region__c]],1,FALSE)</f>
        <v>18003239</v>
      </c>
      <c r="C104" s="7" t="s">
        <v>414</v>
      </c>
      <c r="D104" s="7" t="s">
        <v>630</v>
      </c>
      <c r="E104" s="7" t="s">
        <v>619</v>
      </c>
      <c r="F104" s="7" t="s">
        <v>11</v>
      </c>
      <c r="G104" s="8">
        <v>45702.314699074072</v>
      </c>
      <c r="H104" s="7" t="s">
        <v>410</v>
      </c>
      <c r="I104" s="7" t="s">
        <v>631</v>
      </c>
      <c r="J104">
        <v>4</v>
      </c>
      <c r="K104" s="7" t="s">
        <v>30</v>
      </c>
      <c r="L104" s="7" t="s">
        <v>412</v>
      </c>
      <c r="M104" s="7" t="s">
        <v>413</v>
      </c>
      <c r="N104" s="7"/>
    </row>
    <row r="105" spans="1:14" hidden="1">
      <c r="A105" s="9" t="s">
        <v>131</v>
      </c>
      <c r="B105" t="str">
        <f>VLOOKUP(WH_Data[[#This Row],[Case Number]],Table2[[CaseNumber]:[Region__c]],1,FALSE)</f>
        <v>18003819</v>
      </c>
      <c r="C105" s="7" t="s">
        <v>422</v>
      </c>
      <c r="D105" s="7" t="s">
        <v>632</v>
      </c>
      <c r="E105" s="7" t="s">
        <v>476</v>
      </c>
      <c r="F105" s="7" t="s">
        <v>19</v>
      </c>
      <c r="G105" s="8">
        <v>45751.497002314813</v>
      </c>
      <c r="H105" s="7" t="s">
        <v>410</v>
      </c>
      <c r="I105" s="7" t="s">
        <v>633</v>
      </c>
      <c r="J105">
        <v>9</v>
      </c>
      <c r="K105" s="7" t="s">
        <v>30</v>
      </c>
      <c r="L105" s="7" t="s">
        <v>412</v>
      </c>
      <c r="M105" s="7" t="s">
        <v>413</v>
      </c>
      <c r="N105" s="7"/>
    </row>
    <row r="106" spans="1:14" hidden="1">
      <c r="A106" s="9" t="s">
        <v>132</v>
      </c>
      <c r="B106" t="str">
        <f>VLOOKUP(WH_Data[[#This Row],[Case Number]],Table2[[CaseNumber]:[Region__c]],1,FALSE)</f>
        <v>18008927</v>
      </c>
      <c r="C106" s="7" t="s">
        <v>407</v>
      </c>
      <c r="D106" s="7" t="s">
        <v>634</v>
      </c>
      <c r="E106" s="7" t="s">
        <v>427</v>
      </c>
      <c r="F106" s="7" t="s">
        <v>11</v>
      </c>
      <c r="G106" s="8">
        <v>45715.427233796298</v>
      </c>
      <c r="H106" s="7" t="s">
        <v>410</v>
      </c>
      <c r="I106" s="7" t="s">
        <v>635</v>
      </c>
      <c r="J106">
        <v>14</v>
      </c>
      <c r="K106" s="7" t="s">
        <v>30</v>
      </c>
      <c r="L106" s="7" t="s">
        <v>412</v>
      </c>
      <c r="M106" s="7" t="s">
        <v>413</v>
      </c>
      <c r="N106" s="7"/>
    </row>
    <row r="107" spans="1:14" hidden="1">
      <c r="A107" s="9" t="s">
        <v>133</v>
      </c>
      <c r="B107" t="str">
        <f>VLOOKUP(WH_Data[[#This Row],[Case Number]],Table2[[CaseNumber]:[Region__c]],1,FALSE)</f>
        <v>18008985</v>
      </c>
      <c r="C107" s="7" t="s">
        <v>407</v>
      </c>
      <c r="D107" s="7" t="s">
        <v>634</v>
      </c>
      <c r="E107" s="7" t="s">
        <v>440</v>
      </c>
      <c r="F107" s="7" t="s">
        <v>11</v>
      </c>
      <c r="G107" s="8">
        <v>45715.427291666667</v>
      </c>
      <c r="H107" s="7" t="s">
        <v>410</v>
      </c>
      <c r="I107" s="7" t="s">
        <v>636</v>
      </c>
      <c r="J107">
        <v>15</v>
      </c>
      <c r="K107" s="7" t="s">
        <v>30</v>
      </c>
      <c r="L107" s="7" t="s">
        <v>412</v>
      </c>
      <c r="M107" s="7" t="s">
        <v>413</v>
      </c>
      <c r="N107" s="7"/>
    </row>
    <row r="108" spans="1:14" hidden="1">
      <c r="A108" s="9" t="s">
        <v>134</v>
      </c>
      <c r="B108" t="str">
        <f>VLOOKUP(WH_Data[[#This Row],[Case Number]],Table2[[CaseNumber]:[Region__c]],1,FALSE)</f>
        <v>18010634</v>
      </c>
      <c r="C108" s="7" t="s">
        <v>407</v>
      </c>
      <c r="D108" s="7" t="s">
        <v>608</v>
      </c>
      <c r="E108" s="7" t="s">
        <v>463</v>
      </c>
      <c r="F108" s="7" t="s">
        <v>11</v>
      </c>
      <c r="G108" s="8">
        <v>45833.818611111114</v>
      </c>
      <c r="H108" s="7" t="s">
        <v>410</v>
      </c>
      <c r="I108" s="7" t="s">
        <v>637</v>
      </c>
      <c r="J108">
        <v>14</v>
      </c>
      <c r="K108" s="7" t="s">
        <v>30</v>
      </c>
      <c r="L108" s="7" t="s">
        <v>412</v>
      </c>
      <c r="M108" s="7" t="s">
        <v>413</v>
      </c>
      <c r="N108" s="7"/>
    </row>
    <row r="109" spans="1:14" hidden="1">
      <c r="A109" s="9" t="s">
        <v>135</v>
      </c>
      <c r="B109" t="str">
        <f>VLOOKUP(WH_Data[[#This Row],[Case Number]],Table2[[CaseNumber]:[Region__c]],1,FALSE)</f>
        <v>18010841</v>
      </c>
      <c r="C109" s="7" t="s">
        <v>422</v>
      </c>
      <c r="D109" s="7" t="s">
        <v>571</v>
      </c>
      <c r="E109" s="7" t="s">
        <v>588</v>
      </c>
      <c r="F109" s="7" t="s">
        <v>44</v>
      </c>
      <c r="G109" s="8">
        <v>45792.523425925923</v>
      </c>
      <c r="H109" s="7" t="s">
        <v>410</v>
      </c>
      <c r="I109" s="7" t="s">
        <v>638</v>
      </c>
      <c r="J109">
        <v>15</v>
      </c>
      <c r="K109" s="7" t="s">
        <v>30</v>
      </c>
      <c r="L109" s="7" t="s">
        <v>412</v>
      </c>
      <c r="M109" s="7" t="s">
        <v>413</v>
      </c>
      <c r="N109" s="7"/>
    </row>
    <row r="110" spans="1:14" hidden="1">
      <c r="A110" s="9" t="s">
        <v>136</v>
      </c>
      <c r="B110" t="str">
        <f>VLOOKUP(WH_Data[[#This Row],[Case Number]],Table2[[CaseNumber]:[Region__c]],1,FALSE)</f>
        <v>18011267</v>
      </c>
      <c r="C110" s="7" t="s">
        <v>422</v>
      </c>
      <c r="D110" s="7" t="s">
        <v>639</v>
      </c>
      <c r="E110" s="7" t="s">
        <v>640</v>
      </c>
      <c r="F110" s="7" t="s">
        <v>11</v>
      </c>
      <c r="G110" s="8">
        <v>45729.519583333335</v>
      </c>
      <c r="H110" s="7" t="s">
        <v>410</v>
      </c>
      <c r="I110" s="7" t="s">
        <v>641</v>
      </c>
      <c r="J110">
        <v>10</v>
      </c>
      <c r="K110" s="7" t="s">
        <v>30</v>
      </c>
      <c r="L110" s="7" t="s">
        <v>412</v>
      </c>
      <c r="M110" s="7" t="s">
        <v>413</v>
      </c>
      <c r="N110" s="7"/>
    </row>
    <row r="111" spans="1:14" hidden="1">
      <c r="A111" s="9" t="s">
        <v>137</v>
      </c>
      <c r="B111" t="str">
        <f>VLOOKUP(WH_Data[[#This Row],[Case Number]],Table2[[CaseNumber]:[Region__c]],1,FALSE)</f>
        <v>18014392</v>
      </c>
      <c r="C111" s="7" t="s">
        <v>407</v>
      </c>
      <c r="D111" s="7" t="s">
        <v>642</v>
      </c>
      <c r="E111" s="7" t="s">
        <v>457</v>
      </c>
      <c r="F111" s="7" t="s">
        <v>15</v>
      </c>
      <c r="G111" s="8">
        <v>45798.660717592589</v>
      </c>
      <c r="H111" s="7" t="s">
        <v>410</v>
      </c>
      <c r="I111" s="7" t="s">
        <v>643</v>
      </c>
      <c r="J111">
        <v>37</v>
      </c>
      <c r="K111" s="7" t="s">
        <v>30</v>
      </c>
      <c r="L111" s="7" t="s">
        <v>412</v>
      </c>
      <c r="M111" s="7" t="s">
        <v>413</v>
      </c>
      <c r="N111" s="7"/>
    </row>
    <row r="112" spans="1:14" hidden="1">
      <c r="A112" s="9" t="s">
        <v>22</v>
      </c>
      <c r="B112" t="str">
        <f>VLOOKUP(WH_Data[[#This Row],[Case Number]],Table2[[CaseNumber]:[Region__c]],1,FALSE)</f>
        <v>18015189</v>
      </c>
      <c r="C112" s="7" t="s">
        <v>644</v>
      </c>
      <c r="D112" s="7" t="s">
        <v>408</v>
      </c>
      <c r="E112" s="7" t="s">
        <v>415</v>
      </c>
      <c r="F112" s="7" t="s">
        <v>17</v>
      </c>
      <c r="G112" s="8">
        <v>45681.453981481478</v>
      </c>
      <c r="H112" s="7" t="s">
        <v>416</v>
      </c>
      <c r="I112" s="7" t="s">
        <v>645</v>
      </c>
      <c r="J112">
        <v>316</v>
      </c>
      <c r="K112" s="7" t="s">
        <v>12</v>
      </c>
      <c r="L112" s="7" t="s">
        <v>412</v>
      </c>
      <c r="M112" s="7" t="s">
        <v>413</v>
      </c>
      <c r="N112" s="7"/>
    </row>
    <row r="113" spans="1:14" hidden="1">
      <c r="A113" s="9" t="s">
        <v>138</v>
      </c>
      <c r="B113" t="str">
        <f>VLOOKUP(WH_Data[[#This Row],[Case Number]],Table2[[CaseNumber]:[Region__c]],1,FALSE)</f>
        <v>18015602</v>
      </c>
      <c r="C113" s="7" t="s">
        <v>414</v>
      </c>
      <c r="D113" s="7" t="s">
        <v>502</v>
      </c>
      <c r="E113" s="7" t="s">
        <v>487</v>
      </c>
      <c r="F113" s="7" t="s">
        <v>17</v>
      </c>
      <c r="G113" s="8">
        <v>45709.526435185187</v>
      </c>
      <c r="H113" s="7" t="s">
        <v>410</v>
      </c>
      <c r="I113" s="7" t="s">
        <v>646</v>
      </c>
      <c r="J113">
        <v>7</v>
      </c>
      <c r="K113" s="7" t="s">
        <v>30</v>
      </c>
      <c r="L113" s="7" t="s">
        <v>412</v>
      </c>
      <c r="M113" s="7" t="s">
        <v>413</v>
      </c>
      <c r="N113" s="7"/>
    </row>
    <row r="114" spans="1:14" hidden="1">
      <c r="A114" s="9" t="s">
        <v>139</v>
      </c>
      <c r="B114" t="str">
        <f>VLOOKUP(WH_Data[[#This Row],[Case Number]],Table2[[CaseNumber]:[Region__c]],1,FALSE)</f>
        <v>18017337</v>
      </c>
      <c r="C114" s="7" t="s">
        <v>407</v>
      </c>
      <c r="D114" s="7" t="s">
        <v>642</v>
      </c>
      <c r="E114" s="7" t="s">
        <v>647</v>
      </c>
      <c r="F114" s="7" t="s">
        <v>15</v>
      </c>
      <c r="G114" s="8">
        <v>45756.375104166669</v>
      </c>
      <c r="H114" s="7" t="s">
        <v>410</v>
      </c>
      <c r="I114" s="7" t="s">
        <v>648</v>
      </c>
      <c r="J114">
        <v>21</v>
      </c>
      <c r="K114" s="7" t="s">
        <v>30</v>
      </c>
      <c r="L114" s="7" t="s">
        <v>412</v>
      </c>
      <c r="M114" s="7" t="s">
        <v>413</v>
      </c>
      <c r="N114" s="7"/>
    </row>
    <row r="115" spans="1:14" hidden="1">
      <c r="A115" s="9" t="s">
        <v>140</v>
      </c>
      <c r="B115" t="str">
        <f>VLOOKUP(WH_Data[[#This Row],[Case Number]],Table2[[CaseNumber]:[Region__c]],1,FALSE)</f>
        <v>18017383</v>
      </c>
      <c r="C115" s="7" t="s">
        <v>422</v>
      </c>
      <c r="D115" s="7" t="s">
        <v>642</v>
      </c>
      <c r="E115" s="7" t="s">
        <v>588</v>
      </c>
      <c r="F115" s="7" t="s">
        <v>15</v>
      </c>
      <c r="G115" s="8">
        <v>45817.696689814817</v>
      </c>
      <c r="H115" s="7" t="s">
        <v>410</v>
      </c>
      <c r="I115" s="7" t="s">
        <v>649</v>
      </c>
      <c r="J115">
        <v>18</v>
      </c>
      <c r="K115" s="7" t="s">
        <v>30</v>
      </c>
      <c r="L115" s="7" t="s">
        <v>412</v>
      </c>
      <c r="M115" s="7" t="s">
        <v>413</v>
      </c>
      <c r="N115" s="7"/>
    </row>
    <row r="116" spans="1:14" hidden="1">
      <c r="A116" s="9" t="s">
        <v>141</v>
      </c>
      <c r="B116" t="str">
        <f>VLOOKUP(WH_Data[[#This Row],[Case Number]],Table2[[CaseNumber]:[Region__c]],1,FALSE)</f>
        <v>18019273</v>
      </c>
      <c r="C116" s="7" t="s">
        <v>414</v>
      </c>
      <c r="D116" s="7" t="s">
        <v>650</v>
      </c>
      <c r="E116" s="7" t="s">
        <v>651</v>
      </c>
      <c r="F116" s="7" t="s">
        <v>19</v>
      </c>
      <c r="G116" s="8">
        <v>45803.597974537035</v>
      </c>
      <c r="H116" s="7" t="s">
        <v>410</v>
      </c>
      <c r="I116" s="7" t="s">
        <v>652</v>
      </c>
      <c r="J116">
        <v>4</v>
      </c>
      <c r="K116" s="7" t="s">
        <v>30</v>
      </c>
      <c r="L116" s="7" t="s">
        <v>412</v>
      </c>
      <c r="M116" s="7" t="s">
        <v>413</v>
      </c>
      <c r="N116" s="7"/>
    </row>
    <row r="117" spans="1:14" hidden="1">
      <c r="A117" s="9" t="s">
        <v>142</v>
      </c>
      <c r="B117" t="str">
        <f>VLOOKUP(WH_Data[[#This Row],[Case Number]],Table2[[CaseNumber]:[Region__c]],1,FALSE)</f>
        <v>18019468</v>
      </c>
      <c r="C117" s="7" t="s">
        <v>422</v>
      </c>
      <c r="D117" s="7" t="s">
        <v>653</v>
      </c>
      <c r="E117" s="7" t="s">
        <v>453</v>
      </c>
      <c r="F117" s="7" t="s">
        <v>17</v>
      </c>
      <c r="G117" s="8">
        <v>45833.358877314815</v>
      </c>
      <c r="H117" s="7" t="s">
        <v>410</v>
      </c>
      <c r="I117" s="7" t="s">
        <v>654</v>
      </c>
      <c r="J117">
        <v>15</v>
      </c>
      <c r="K117" s="7" t="s">
        <v>30</v>
      </c>
      <c r="L117" s="7" t="s">
        <v>412</v>
      </c>
      <c r="M117" s="7" t="s">
        <v>413</v>
      </c>
      <c r="N117" s="7"/>
    </row>
    <row r="118" spans="1:14" hidden="1">
      <c r="A118" s="9" t="s">
        <v>143</v>
      </c>
      <c r="B118" t="str">
        <f>VLOOKUP(WH_Data[[#This Row],[Case Number]],Table2[[CaseNumber]:[Region__c]],1,FALSE)</f>
        <v>18027241</v>
      </c>
      <c r="C118" s="7" t="s">
        <v>414</v>
      </c>
      <c r="D118" s="7" t="s">
        <v>545</v>
      </c>
      <c r="E118" s="7" t="s">
        <v>443</v>
      </c>
      <c r="F118" s="7" t="s">
        <v>17</v>
      </c>
      <c r="G118" s="8">
        <v>45730.592824074076</v>
      </c>
      <c r="H118" s="7" t="s">
        <v>410</v>
      </c>
      <c r="I118" s="7" t="s">
        <v>655</v>
      </c>
      <c r="J118">
        <v>7</v>
      </c>
      <c r="K118" s="7" t="s">
        <v>30</v>
      </c>
      <c r="L118" s="7" t="s">
        <v>412</v>
      </c>
      <c r="M118" s="7" t="s">
        <v>413</v>
      </c>
      <c r="N118" s="7"/>
    </row>
    <row r="119" spans="1:14" hidden="1">
      <c r="A119" s="9" t="s">
        <v>144</v>
      </c>
      <c r="B119" t="str">
        <f>VLOOKUP(WH_Data[[#This Row],[Case Number]],Table2[[CaseNumber]:[Region__c]],1,FALSE)</f>
        <v>18027316</v>
      </c>
      <c r="C119" s="7" t="s">
        <v>414</v>
      </c>
      <c r="D119" s="7" t="s">
        <v>545</v>
      </c>
      <c r="E119" s="7" t="s">
        <v>526</v>
      </c>
      <c r="F119" s="7" t="s">
        <v>17</v>
      </c>
      <c r="G119" s="8">
        <v>45733.669432870367</v>
      </c>
      <c r="H119" s="7" t="s">
        <v>655</v>
      </c>
      <c r="I119" s="7" t="s">
        <v>656</v>
      </c>
      <c r="J119">
        <v>6</v>
      </c>
      <c r="K119" s="7" t="s">
        <v>30</v>
      </c>
      <c r="L119" s="7" t="s">
        <v>412</v>
      </c>
      <c r="M119" s="7" t="s">
        <v>413</v>
      </c>
      <c r="N119" s="7"/>
    </row>
    <row r="120" spans="1:14" hidden="1">
      <c r="A120" s="9" t="s">
        <v>145</v>
      </c>
      <c r="B120" t="str">
        <f>VLOOKUP(WH_Data[[#This Row],[Case Number]],Table2[[CaseNumber]:[Region__c]],1,FALSE)</f>
        <v>18027887</v>
      </c>
      <c r="C120" s="7" t="s">
        <v>422</v>
      </c>
      <c r="D120" s="7" t="s">
        <v>614</v>
      </c>
      <c r="E120" s="7" t="s">
        <v>657</v>
      </c>
      <c r="F120" s="7" t="s">
        <v>44</v>
      </c>
      <c r="G120" s="8">
        <v>45807.725358796299</v>
      </c>
      <c r="H120" s="7" t="s">
        <v>410</v>
      </c>
      <c r="I120" s="7" t="s">
        <v>658</v>
      </c>
      <c r="J120">
        <v>10</v>
      </c>
      <c r="K120" s="7" t="s">
        <v>30</v>
      </c>
      <c r="L120" s="7" t="s">
        <v>412</v>
      </c>
      <c r="M120" s="7" t="s">
        <v>413</v>
      </c>
      <c r="N120" s="7"/>
    </row>
    <row r="121" spans="1:14" hidden="1">
      <c r="A121" s="9" t="s">
        <v>146</v>
      </c>
      <c r="B121" t="str">
        <f>VLOOKUP(WH_Data[[#This Row],[Case Number]],Table2[[CaseNumber]:[Region__c]],1,FALSE)</f>
        <v>18037293</v>
      </c>
      <c r="C121" s="7" t="s">
        <v>407</v>
      </c>
      <c r="D121" s="7" t="s">
        <v>642</v>
      </c>
      <c r="E121" s="7" t="s">
        <v>460</v>
      </c>
      <c r="F121" s="7" t="s">
        <v>15</v>
      </c>
      <c r="G121" s="8">
        <v>45889.427187499998</v>
      </c>
      <c r="H121" s="7" t="s">
        <v>410</v>
      </c>
      <c r="I121" s="7" t="s">
        <v>659</v>
      </c>
      <c r="J121">
        <v>40</v>
      </c>
      <c r="K121" s="7" t="s">
        <v>30</v>
      </c>
      <c r="L121" s="7" t="s">
        <v>412</v>
      </c>
      <c r="M121" s="7" t="s">
        <v>413</v>
      </c>
      <c r="N121" s="7"/>
    </row>
    <row r="122" spans="1:14" hidden="1">
      <c r="A122" s="9" t="s">
        <v>147</v>
      </c>
      <c r="B122" t="str">
        <f>VLOOKUP(WH_Data[[#This Row],[Case Number]],Table2[[CaseNumber]:[Region__c]],1,FALSE)</f>
        <v>18045445</v>
      </c>
      <c r="C122" s="7" t="s">
        <v>414</v>
      </c>
      <c r="D122" s="7" t="s">
        <v>518</v>
      </c>
      <c r="E122" s="7" t="s">
        <v>647</v>
      </c>
      <c r="F122" s="7" t="s">
        <v>17</v>
      </c>
      <c r="G122" s="8">
        <v>45713.220243055555</v>
      </c>
      <c r="H122" s="7" t="s">
        <v>410</v>
      </c>
      <c r="I122" s="7" t="s">
        <v>660</v>
      </c>
      <c r="J122">
        <v>14</v>
      </c>
      <c r="K122" s="7" t="s">
        <v>30</v>
      </c>
      <c r="L122" s="7" t="s">
        <v>412</v>
      </c>
      <c r="M122" s="7" t="s">
        <v>413</v>
      </c>
      <c r="N122" s="7"/>
    </row>
    <row r="123" spans="1:14" hidden="1">
      <c r="A123" s="9" t="s">
        <v>148</v>
      </c>
      <c r="B123" t="str">
        <f>VLOOKUP(WH_Data[[#This Row],[Case Number]],Table2[[CaseNumber]:[Region__c]],1,FALSE)</f>
        <v>18045478</v>
      </c>
      <c r="C123" s="7" t="s">
        <v>414</v>
      </c>
      <c r="D123" s="7" t="s">
        <v>518</v>
      </c>
      <c r="E123" s="7" t="s">
        <v>546</v>
      </c>
      <c r="F123" s="7" t="s">
        <v>17</v>
      </c>
      <c r="G123" s="8">
        <v>45702.324444444443</v>
      </c>
      <c r="H123" s="7" t="s">
        <v>410</v>
      </c>
      <c r="I123" s="7" t="s">
        <v>661</v>
      </c>
      <c r="J123">
        <v>3</v>
      </c>
      <c r="K123" s="7" t="s">
        <v>30</v>
      </c>
      <c r="L123" s="7" t="s">
        <v>412</v>
      </c>
      <c r="M123" s="7" t="s">
        <v>413</v>
      </c>
      <c r="N123" s="7"/>
    </row>
    <row r="124" spans="1:14" hidden="1">
      <c r="A124" s="9" t="s">
        <v>149</v>
      </c>
      <c r="B124" t="str">
        <f>VLOOKUP(WH_Data[[#This Row],[Case Number]],Table2[[CaseNumber]:[Region__c]],1,FALSE)</f>
        <v>18045505</v>
      </c>
      <c r="C124" s="7" t="s">
        <v>414</v>
      </c>
      <c r="D124" s="7" t="s">
        <v>518</v>
      </c>
      <c r="E124" s="7" t="s">
        <v>662</v>
      </c>
      <c r="F124" s="7" t="s">
        <v>17</v>
      </c>
      <c r="G124" s="8">
        <v>45713.227222222224</v>
      </c>
      <c r="H124" s="7" t="s">
        <v>410</v>
      </c>
      <c r="I124" s="7" t="s">
        <v>663</v>
      </c>
      <c r="J124">
        <v>14</v>
      </c>
      <c r="K124" s="7" t="s">
        <v>30</v>
      </c>
      <c r="L124" s="7" t="s">
        <v>412</v>
      </c>
      <c r="M124" s="7" t="s">
        <v>413</v>
      </c>
      <c r="N124" s="7"/>
    </row>
    <row r="125" spans="1:14" hidden="1">
      <c r="A125" s="9" t="s">
        <v>150</v>
      </c>
      <c r="B125" t="str">
        <f>VLOOKUP(WH_Data[[#This Row],[Case Number]],Table2[[CaseNumber]:[Region__c]],1,FALSE)</f>
        <v>18055523</v>
      </c>
      <c r="C125" s="7" t="s">
        <v>422</v>
      </c>
      <c r="D125" s="7" t="s">
        <v>664</v>
      </c>
      <c r="E125" s="7" t="s">
        <v>509</v>
      </c>
      <c r="F125" s="7" t="s">
        <v>19</v>
      </c>
      <c r="G125" s="8">
        <v>45768.775567129633</v>
      </c>
      <c r="H125" s="7" t="s">
        <v>410</v>
      </c>
      <c r="I125" s="7" t="s">
        <v>665</v>
      </c>
      <c r="J125">
        <v>12</v>
      </c>
      <c r="K125" s="7" t="s">
        <v>30</v>
      </c>
      <c r="L125" s="7" t="s">
        <v>412</v>
      </c>
      <c r="M125" s="7" t="s">
        <v>413</v>
      </c>
      <c r="N125" s="7"/>
    </row>
    <row r="126" spans="1:14" hidden="1">
      <c r="A126" s="9" t="s">
        <v>151</v>
      </c>
      <c r="B126" t="str">
        <f>VLOOKUP(WH_Data[[#This Row],[Case Number]],Table2[[CaseNumber]:[Region__c]],1,FALSE)</f>
        <v>18056402</v>
      </c>
      <c r="C126" s="7" t="s">
        <v>414</v>
      </c>
      <c r="D126" s="7" t="s">
        <v>534</v>
      </c>
      <c r="E126" s="7" t="s">
        <v>666</v>
      </c>
      <c r="F126" s="7" t="s">
        <v>11</v>
      </c>
      <c r="G126" s="8">
        <v>45720.31517361111</v>
      </c>
      <c r="H126" s="7" t="s">
        <v>410</v>
      </c>
      <c r="I126" s="7" t="s">
        <v>667</v>
      </c>
      <c r="J126">
        <v>5</v>
      </c>
      <c r="K126" s="7" t="s">
        <v>30</v>
      </c>
      <c r="L126" s="7" t="s">
        <v>412</v>
      </c>
      <c r="M126" s="7" t="s">
        <v>413</v>
      </c>
      <c r="N126" s="7"/>
    </row>
    <row r="127" spans="1:14" hidden="1">
      <c r="A127" s="9" t="s">
        <v>152</v>
      </c>
      <c r="B127" t="str">
        <f>VLOOKUP(WH_Data[[#This Row],[Case Number]],Table2[[CaseNumber]:[Region__c]],1,FALSE)</f>
        <v>18058982</v>
      </c>
      <c r="C127" s="7" t="s">
        <v>422</v>
      </c>
      <c r="D127" s="7" t="s">
        <v>598</v>
      </c>
      <c r="E127" s="7" t="s">
        <v>496</v>
      </c>
      <c r="F127" s="7" t="s">
        <v>11</v>
      </c>
      <c r="G127" s="8">
        <v>45751.892905092594</v>
      </c>
      <c r="H127" s="7" t="s">
        <v>410</v>
      </c>
      <c r="I127" s="7" t="s">
        <v>668</v>
      </c>
      <c r="J127">
        <v>4</v>
      </c>
      <c r="K127" s="7" t="s">
        <v>30</v>
      </c>
      <c r="L127" s="7" t="s">
        <v>412</v>
      </c>
      <c r="M127" s="7" t="s">
        <v>413</v>
      </c>
      <c r="N127" s="7"/>
    </row>
    <row r="128" spans="1:14" hidden="1">
      <c r="A128" s="9" t="s">
        <v>153</v>
      </c>
      <c r="B128" t="str">
        <f>VLOOKUP(WH_Data[[#This Row],[Case Number]],Table2[[CaseNumber]:[Region__c]],1,FALSE)</f>
        <v>18059379</v>
      </c>
      <c r="C128" s="7" t="s">
        <v>414</v>
      </c>
      <c r="D128" s="7" t="s">
        <v>518</v>
      </c>
      <c r="E128" s="7" t="s">
        <v>457</v>
      </c>
      <c r="F128" s="7" t="s">
        <v>46</v>
      </c>
      <c r="G128" s="8">
        <v>45771.246874999997</v>
      </c>
      <c r="H128" s="7" t="s">
        <v>410</v>
      </c>
      <c r="I128" s="7" t="s">
        <v>669</v>
      </c>
      <c r="J128">
        <v>3</v>
      </c>
      <c r="K128" s="7" t="s">
        <v>30</v>
      </c>
      <c r="L128" s="7" t="s">
        <v>412</v>
      </c>
      <c r="M128" s="7" t="s">
        <v>413</v>
      </c>
      <c r="N128" s="7"/>
    </row>
    <row r="129" spans="1:14" hidden="1">
      <c r="A129" s="9" t="s">
        <v>154</v>
      </c>
      <c r="B129" t="str">
        <f>VLOOKUP(WH_Data[[#This Row],[Case Number]],Table2[[CaseNumber]:[Region__c]],1,FALSE)</f>
        <v>18060519</v>
      </c>
      <c r="C129" s="7" t="s">
        <v>414</v>
      </c>
      <c r="D129" s="7" t="s">
        <v>670</v>
      </c>
      <c r="E129" s="7" t="s">
        <v>474</v>
      </c>
      <c r="F129" s="7" t="s">
        <v>19</v>
      </c>
      <c r="G129" s="8">
        <v>45751.455995370372</v>
      </c>
      <c r="H129" s="7" t="s">
        <v>410</v>
      </c>
      <c r="I129" s="7" t="s">
        <v>671</v>
      </c>
      <c r="J129">
        <v>3</v>
      </c>
      <c r="K129" s="7" t="s">
        <v>30</v>
      </c>
      <c r="L129" s="7" t="s">
        <v>412</v>
      </c>
      <c r="M129" s="7" t="s">
        <v>413</v>
      </c>
      <c r="N129" s="7"/>
    </row>
    <row r="130" spans="1:14" hidden="1">
      <c r="A130" s="9" t="s">
        <v>155</v>
      </c>
      <c r="B130" t="str">
        <f>VLOOKUP(WH_Data[[#This Row],[Case Number]],Table2[[CaseNumber]:[Region__c]],1,FALSE)</f>
        <v>18062180</v>
      </c>
      <c r="C130" s="7" t="s">
        <v>407</v>
      </c>
      <c r="D130" s="7" t="s">
        <v>430</v>
      </c>
      <c r="E130" s="7" t="s">
        <v>672</v>
      </c>
      <c r="F130" s="7" t="s">
        <v>11</v>
      </c>
      <c r="G130" s="8">
        <v>45758.478935185187</v>
      </c>
      <c r="H130" s="7" t="s">
        <v>410</v>
      </c>
      <c r="I130" s="7" t="s">
        <v>673</v>
      </c>
      <c r="J130">
        <v>10</v>
      </c>
      <c r="K130" s="7" t="s">
        <v>30</v>
      </c>
      <c r="L130" s="7" t="s">
        <v>412</v>
      </c>
      <c r="M130" s="7" t="s">
        <v>413</v>
      </c>
      <c r="N130" s="7"/>
    </row>
    <row r="131" spans="1:14" hidden="1">
      <c r="A131" s="9" t="s">
        <v>156</v>
      </c>
      <c r="B131" t="str">
        <f>VLOOKUP(WH_Data[[#This Row],[Case Number]],Table2[[CaseNumber]:[Region__c]],1,FALSE)</f>
        <v>18066414</v>
      </c>
      <c r="C131" s="7" t="s">
        <v>422</v>
      </c>
      <c r="D131" s="7" t="s">
        <v>674</v>
      </c>
      <c r="E131" s="7" t="s">
        <v>537</v>
      </c>
      <c r="F131" s="7" t="s">
        <v>11</v>
      </c>
      <c r="G131" s="8">
        <v>45749.788356481484</v>
      </c>
      <c r="H131" s="7" t="s">
        <v>410</v>
      </c>
      <c r="I131" s="7" t="s">
        <v>675</v>
      </c>
      <c r="J131">
        <v>15</v>
      </c>
      <c r="K131" s="7" t="s">
        <v>30</v>
      </c>
      <c r="L131" s="7" t="s">
        <v>412</v>
      </c>
      <c r="M131" s="7" t="s">
        <v>413</v>
      </c>
      <c r="N131" s="7"/>
    </row>
    <row r="132" spans="1:14" hidden="1">
      <c r="A132" s="9" t="s">
        <v>157</v>
      </c>
      <c r="B132" t="str">
        <f>VLOOKUP(WH_Data[[#This Row],[Case Number]],Table2[[CaseNumber]:[Region__c]],1,FALSE)</f>
        <v>18073361</v>
      </c>
      <c r="C132" s="7" t="s">
        <v>407</v>
      </c>
      <c r="D132" s="7" t="s">
        <v>614</v>
      </c>
      <c r="E132" s="7" t="s">
        <v>676</v>
      </c>
      <c r="F132" s="7" t="s">
        <v>44</v>
      </c>
      <c r="G132" s="8">
        <v>45798.665706018517</v>
      </c>
      <c r="H132" s="7" t="s">
        <v>410</v>
      </c>
      <c r="I132" s="7" t="s">
        <v>677</v>
      </c>
      <c r="J132">
        <v>23</v>
      </c>
      <c r="K132" s="7" t="s">
        <v>30</v>
      </c>
      <c r="L132" s="7" t="s">
        <v>412</v>
      </c>
      <c r="M132" s="7" t="s">
        <v>413</v>
      </c>
      <c r="N132" s="7"/>
    </row>
    <row r="133" spans="1:14" hidden="1">
      <c r="A133" s="9" t="s">
        <v>158</v>
      </c>
      <c r="B133" t="str">
        <f>VLOOKUP(WH_Data[[#This Row],[Case Number]],Table2[[CaseNumber]:[Region__c]],1,FALSE)</f>
        <v>18076600</v>
      </c>
      <c r="C133" s="7" t="s">
        <v>422</v>
      </c>
      <c r="D133" s="7" t="s">
        <v>557</v>
      </c>
      <c r="E133" s="7" t="s">
        <v>678</v>
      </c>
      <c r="F133" s="7" t="s">
        <v>11</v>
      </c>
      <c r="G133" s="8">
        <v>45768.759780092594</v>
      </c>
      <c r="H133" s="7" t="s">
        <v>410</v>
      </c>
      <c r="I133" s="7" t="s">
        <v>679</v>
      </c>
      <c r="J133">
        <v>11</v>
      </c>
      <c r="K133" s="7" t="s">
        <v>30</v>
      </c>
      <c r="L133" s="7" t="s">
        <v>412</v>
      </c>
      <c r="M133" s="7" t="s">
        <v>413</v>
      </c>
      <c r="N133" s="7"/>
    </row>
    <row r="134" spans="1:14" hidden="1">
      <c r="A134" s="9" t="s">
        <v>159</v>
      </c>
      <c r="B134" t="str">
        <f>VLOOKUP(WH_Data[[#This Row],[Case Number]],Table2[[CaseNumber]:[Region__c]],1,FALSE)</f>
        <v>18077019</v>
      </c>
      <c r="C134" s="7" t="s">
        <v>407</v>
      </c>
      <c r="D134" s="7" t="s">
        <v>680</v>
      </c>
      <c r="E134" s="7" t="s">
        <v>463</v>
      </c>
      <c r="F134" s="7" t="s">
        <v>11</v>
      </c>
      <c r="G134" s="8">
        <v>45813.566018518519</v>
      </c>
      <c r="H134" s="7" t="s">
        <v>410</v>
      </c>
      <c r="I134" s="7" t="s">
        <v>681</v>
      </c>
      <c r="J134">
        <v>10</v>
      </c>
      <c r="K134" s="7" t="s">
        <v>30</v>
      </c>
      <c r="L134" s="7" t="s">
        <v>412</v>
      </c>
      <c r="M134" s="7" t="s">
        <v>413</v>
      </c>
      <c r="N134" s="7"/>
    </row>
    <row r="135" spans="1:14" hidden="1">
      <c r="A135" s="9" t="s">
        <v>160</v>
      </c>
      <c r="B135" t="str">
        <f>VLOOKUP(WH_Data[[#This Row],[Case Number]],Table2[[CaseNumber]:[Region__c]],1,FALSE)</f>
        <v>18089318</v>
      </c>
      <c r="C135" s="7" t="s">
        <v>414</v>
      </c>
      <c r="D135" s="7" t="s">
        <v>682</v>
      </c>
      <c r="E135" s="7" t="s">
        <v>453</v>
      </c>
      <c r="F135" s="7" t="s">
        <v>11</v>
      </c>
      <c r="G135" s="8">
        <v>45750.257604166669</v>
      </c>
      <c r="H135" s="7" t="s">
        <v>410</v>
      </c>
      <c r="I135" s="7" t="s">
        <v>683</v>
      </c>
      <c r="J135">
        <v>8</v>
      </c>
      <c r="K135" s="7" t="s">
        <v>30</v>
      </c>
      <c r="L135" s="7" t="s">
        <v>412</v>
      </c>
      <c r="M135" s="7" t="s">
        <v>413</v>
      </c>
      <c r="N135" s="7"/>
    </row>
    <row r="136" spans="1:14" hidden="1">
      <c r="A136" s="9" t="s">
        <v>161</v>
      </c>
      <c r="B136" t="str">
        <f>VLOOKUP(WH_Data[[#This Row],[Case Number]],Table2[[CaseNumber]:[Region__c]],1,FALSE)</f>
        <v>18096454</v>
      </c>
      <c r="C136" s="7" t="s">
        <v>422</v>
      </c>
      <c r="D136" s="7" t="s">
        <v>684</v>
      </c>
      <c r="E136" s="7" t="s">
        <v>685</v>
      </c>
      <c r="F136" s="7" t="s">
        <v>17</v>
      </c>
      <c r="G136" s="8">
        <v>45749.807060185187</v>
      </c>
      <c r="H136" s="7" t="s">
        <v>410</v>
      </c>
      <c r="I136" s="7" t="s">
        <v>686</v>
      </c>
      <c r="J136">
        <v>14</v>
      </c>
      <c r="K136" s="7" t="s">
        <v>30</v>
      </c>
      <c r="L136" s="7" t="s">
        <v>412</v>
      </c>
      <c r="M136" s="7" t="s">
        <v>413</v>
      </c>
      <c r="N136" s="7"/>
    </row>
    <row r="137" spans="1:14" hidden="1">
      <c r="A137" s="9" t="s">
        <v>162</v>
      </c>
      <c r="B137" t="str">
        <f>VLOOKUP(WH_Data[[#This Row],[Case Number]],Table2[[CaseNumber]:[Region__c]],1,FALSE)</f>
        <v>18104951</v>
      </c>
      <c r="C137" s="7" t="s">
        <v>407</v>
      </c>
      <c r="D137" s="7" t="s">
        <v>687</v>
      </c>
      <c r="E137" s="7" t="s">
        <v>509</v>
      </c>
      <c r="F137" s="7" t="s">
        <v>19</v>
      </c>
      <c r="G137" s="8">
        <v>45945.385358796295</v>
      </c>
      <c r="H137" s="7" t="s">
        <v>410</v>
      </c>
      <c r="I137" s="7" t="s">
        <v>688</v>
      </c>
      <c r="J137">
        <v>27</v>
      </c>
      <c r="K137" s="7" t="s">
        <v>30</v>
      </c>
      <c r="L137" s="7" t="s">
        <v>412</v>
      </c>
      <c r="M137" s="7" t="s">
        <v>413</v>
      </c>
      <c r="N137" s="7"/>
    </row>
    <row r="138" spans="1:14">
      <c r="A138" s="9" t="s">
        <v>1041</v>
      </c>
      <c r="B138" t="e">
        <f>VLOOKUP(WH_Data[[#This Row],[Case Number]],Table2[[CaseNumber]:[Region__c]],1,FALSE)</f>
        <v>#N/A</v>
      </c>
      <c r="C138" s="7" t="s">
        <v>407</v>
      </c>
      <c r="D138" s="7" t="s">
        <v>689</v>
      </c>
      <c r="E138" s="7" t="s">
        <v>596</v>
      </c>
      <c r="F138" s="7" t="s">
        <v>11</v>
      </c>
      <c r="G138" s="8">
        <v>45772.69872685185</v>
      </c>
      <c r="H138" s="7" t="s">
        <v>410</v>
      </c>
      <c r="I138" s="7" t="s">
        <v>690</v>
      </c>
      <c r="J138">
        <v>23</v>
      </c>
      <c r="K138" s="7" t="s">
        <v>30</v>
      </c>
      <c r="L138" s="7" t="s">
        <v>412</v>
      </c>
      <c r="M138" s="7" t="s">
        <v>413</v>
      </c>
      <c r="N138" s="7"/>
    </row>
    <row r="139" spans="1:14" hidden="1">
      <c r="A139" s="9" t="s">
        <v>163</v>
      </c>
      <c r="B139" t="str">
        <f>VLOOKUP(WH_Data[[#This Row],[Case Number]],Table2[[CaseNumber]:[Region__c]],1,FALSE)</f>
        <v>18111785</v>
      </c>
      <c r="C139" s="7" t="s">
        <v>407</v>
      </c>
      <c r="D139" s="7" t="s">
        <v>691</v>
      </c>
      <c r="E139" s="7" t="s">
        <v>514</v>
      </c>
      <c r="F139" s="7" t="s">
        <v>44</v>
      </c>
      <c r="G139" s="8">
        <v>45820.547650462962</v>
      </c>
      <c r="H139" s="7" t="s">
        <v>410</v>
      </c>
      <c r="I139" s="7" t="s">
        <v>692</v>
      </c>
      <c r="J139">
        <v>28</v>
      </c>
      <c r="K139" s="7" t="s">
        <v>30</v>
      </c>
      <c r="L139" s="7" t="s">
        <v>412</v>
      </c>
      <c r="M139" s="7" t="s">
        <v>413</v>
      </c>
      <c r="N139" s="7"/>
    </row>
    <row r="140" spans="1:14" hidden="1">
      <c r="A140" s="9" t="s">
        <v>164</v>
      </c>
      <c r="B140" t="str">
        <f>VLOOKUP(WH_Data[[#This Row],[Case Number]],Table2[[CaseNumber]:[Region__c]],1,FALSE)</f>
        <v>18113463</v>
      </c>
      <c r="C140" s="7" t="s">
        <v>414</v>
      </c>
      <c r="D140" s="7" t="s">
        <v>693</v>
      </c>
      <c r="E140" s="7" t="s">
        <v>624</v>
      </c>
      <c r="F140" s="7" t="s">
        <v>11</v>
      </c>
      <c r="G140" s="8">
        <v>45874.331817129627</v>
      </c>
      <c r="H140" s="7" t="s">
        <v>410</v>
      </c>
      <c r="I140" s="7" t="s">
        <v>694</v>
      </c>
      <c r="J140">
        <v>19</v>
      </c>
      <c r="K140" s="7" t="s">
        <v>30</v>
      </c>
      <c r="L140" s="7" t="s">
        <v>412</v>
      </c>
      <c r="M140" s="7" t="s">
        <v>413</v>
      </c>
      <c r="N140" s="7"/>
    </row>
    <row r="141" spans="1:14" hidden="1">
      <c r="A141" s="9" t="s">
        <v>165</v>
      </c>
      <c r="B141" t="str">
        <f>VLOOKUP(WH_Data[[#This Row],[Case Number]],Table2[[CaseNumber]:[Region__c]],1,FALSE)</f>
        <v>18126570</v>
      </c>
      <c r="C141" s="7" t="s">
        <v>422</v>
      </c>
      <c r="D141" s="7" t="s">
        <v>695</v>
      </c>
      <c r="E141" s="7" t="s">
        <v>450</v>
      </c>
      <c r="F141" s="7" t="s">
        <v>46</v>
      </c>
      <c r="G141" s="8">
        <v>45776.836898148147</v>
      </c>
      <c r="H141" s="7" t="s">
        <v>410</v>
      </c>
      <c r="I141" s="7" t="s">
        <v>696</v>
      </c>
      <c r="J141">
        <v>14</v>
      </c>
      <c r="K141" s="7" t="s">
        <v>30</v>
      </c>
      <c r="L141" s="7" t="s">
        <v>412</v>
      </c>
      <c r="M141" s="7" t="s">
        <v>413</v>
      </c>
      <c r="N141" s="7"/>
    </row>
    <row r="142" spans="1:14" hidden="1">
      <c r="A142" s="9" t="s">
        <v>166</v>
      </c>
      <c r="B142" t="str">
        <f>VLOOKUP(WH_Data[[#This Row],[Case Number]],Table2[[CaseNumber]:[Region__c]],1,FALSE)</f>
        <v>18137309</v>
      </c>
      <c r="C142" s="7" t="s">
        <v>407</v>
      </c>
      <c r="D142" s="7" t="s">
        <v>598</v>
      </c>
      <c r="E142" s="7" t="s">
        <v>463</v>
      </c>
      <c r="F142" s="7" t="s">
        <v>11</v>
      </c>
      <c r="G142" s="8">
        <v>45862.594131944446</v>
      </c>
      <c r="H142" s="7" t="s">
        <v>410</v>
      </c>
      <c r="I142" s="7" t="s">
        <v>697</v>
      </c>
      <c r="J142">
        <v>10</v>
      </c>
      <c r="K142" s="7" t="s">
        <v>30</v>
      </c>
      <c r="L142" s="7" t="s">
        <v>412</v>
      </c>
      <c r="M142" s="7" t="s">
        <v>413</v>
      </c>
      <c r="N142" s="7"/>
    </row>
    <row r="143" spans="1:14" hidden="1">
      <c r="A143" s="9" t="s">
        <v>167</v>
      </c>
      <c r="B143" t="str">
        <f>VLOOKUP(WH_Data[[#This Row],[Case Number]],Table2[[CaseNumber]:[Region__c]],1,FALSE)</f>
        <v>18149865</v>
      </c>
      <c r="C143" s="7" t="s">
        <v>407</v>
      </c>
      <c r="D143" s="7" t="s">
        <v>698</v>
      </c>
      <c r="E143" s="7" t="s">
        <v>409</v>
      </c>
      <c r="F143" s="7" t="s">
        <v>11</v>
      </c>
      <c r="G143" s="8">
        <v>45786.578622685185</v>
      </c>
      <c r="H143" s="7" t="s">
        <v>410</v>
      </c>
      <c r="I143" s="7" t="s">
        <v>699</v>
      </c>
      <c r="J143">
        <v>14</v>
      </c>
      <c r="K143" s="7" t="s">
        <v>30</v>
      </c>
      <c r="L143" s="7" t="s">
        <v>412</v>
      </c>
      <c r="M143" s="7" t="s">
        <v>413</v>
      </c>
      <c r="N143" s="7"/>
    </row>
    <row r="144" spans="1:14">
      <c r="A144" s="9" t="s">
        <v>1042</v>
      </c>
      <c r="B144" t="e">
        <f>VLOOKUP(WH_Data[[#This Row],[Case Number]],Table2[[CaseNumber]:[Region__c]],1,FALSE)</f>
        <v>#N/A</v>
      </c>
      <c r="C144" s="7" t="s">
        <v>422</v>
      </c>
      <c r="D144" s="7" t="s">
        <v>700</v>
      </c>
      <c r="E144" s="7" t="s">
        <v>514</v>
      </c>
      <c r="F144" s="7" t="s">
        <v>701</v>
      </c>
      <c r="G144" s="8">
        <v>45825.868969907409</v>
      </c>
      <c r="H144" s="7" t="s">
        <v>410</v>
      </c>
      <c r="I144" s="7" t="s">
        <v>702</v>
      </c>
      <c r="J144">
        <v>21</v>
      </c>
      <c r="K144" s="7" t="s">
        <v>30</v>
      </c>
      <c r="L144" s="7" t="s">
        <v>412</v>
      </c>
      <c r="M144" s="7" t="s">
        <v>413</v>
      </c>
      <c r="N144" s="7"/>
    </row>
    <row r="145" spans="1:14" hidden="1">
      <c r="A145" s="9" t="s">
        <v>168</v>
      </c>
      <c r="B145" t="str">
        <f>VLOOKUP(WH_Data[[#This Row],[Case Number]],Table2[[CaseNumber]:[Region__c]],1,FALSE)</f>
        <v>18150734</v>
      </c>
      <c r="C145" s="7" t="s">
        <v>407</v>
      </c>
      <c r="D145" s="7" t="s">
        <v>703</v>
      </c>
      <c r="E145" s="7" t="s">
        <v>514</v>
      </c>
      <c r="F145" s="7" t="s">
        <v>44</v>
      </c>
      <c r="G145" s="8">
        <v>45958.601539351854</v>
      </c>
      <c r="H145" s="7" t="s">
        <v>410</v>
      </c>
      <c r="I145" s="7" t="s">
        <v>704</v>
      </c>
      <c r="J145">
        <v>14</v>
      </c>
      <c r="K145" s="7" t="s">
        <v>30</v>
      </c>
      <c r="L145" s="7" t="s">
        <v>412</v>
      </c>
      <c r="M145" s="7" t="s">
        <v>413</v>
      </c>
      <c r="N145" s="7"/>
    </row>
    <row r="146" spans="1:14" hidden="1">
      <c r="A146" s="9" t="s">
        <v>169</v>
      </c>
      <c r="B146" t="str">
        <f>VLOOKUP(WH_Data[[#This Row],[Case Number]],Table2[[CaseNumber]:[Region__c]],1,FALSE)</f>
        <v>18159523</v>
      </c>
      <c r="C146" s="7" t="s">
        <v>414</v>
      </c>
      <c r="D146" s="7" t="s">
        <v>705</v>
      </c>
      <c r="E146" s="7" t="s">
        <v>706</v>
      </c>
      <c r="F146" s="7" t="s">
        <v>11</v>
      </c>
      <c r="G146" s="8">
        <v>45790.3278125</v>
      </c>
      <c r="H146" s="7" t="s">
        <v>410</v>
      </c>
      <c r="I146" s="7" t="s">
        <v>707</v>
      </c>
      <c r="J146">
        <v>12</v>
      </c>
      <c r="K146" s="7" t="s">
        <v>30</v>
      </c>
      <c r="L146" s="7" t="s">
        <v>412</v>
      </c>
      <c r="M146" s="7" t="s">
        <v>413</v>
      </c>
      <c r="N146" s="7"/>
    </row>
    <row r="147" spans="1:14" hidden="1">
      <c r="A147" s="9" t="s">
        <v>170</v>
      </c>
      <c r="B147" t="str">
        <f>VLOOKUP(WH_Data[[#This Row],[Case Number]],Table2[[CaseNumber]:[Region__c]],1,FALSE)</f>
        <v>18160161</v>
      </c>
      <c r="C147" s="7" t="s">
        <v>414</v>
      </c>
      <c r="D147" s="7" t="s">
        <v>708</v>
      </c>
      <c r="E147" s="7" t="s">
        <v>450</v>
      </c>
      <c r="F147" s="7" t="s">
        <v>17</v>
      </c>
      <c r="G147" s="8">
        <v>45754.368796296294</v>
      </c>
      <c r="H147" s="7" t="s">
        <v>709</v>
      </c>
      <c r="I147" s="7" t="s">
        <v>710</v>
      </c>
      <c r="J147">
        <v>6</v>
      </c>
      <c r="K147" s="7" t="s">
        <v>30</v>
      </c>
      <c r="L147" s="7" t="s">
        <v>412</v>
      </c>
      <c r="M147" s="7" t="s">
        <v>413</v>
      </c>
      <c r="N147" s="7"/>
    </row>
    <row r="148" spans="1:14" hidden="1">
      <c r="A148" s="9" t="s">
        <v>171</v>
      </c>
      <c r="B148" t="str">
        <f>VLOOKUP(WH_Data[[#This Row],[Case Number]],Table2[[CaseNumber]:[Region__c]],1,FALSE)</f>
        <v>18160180</v>
      </c>
      <c r="C148" s="7" t="s">
        <v>414</v>
      </c>
      <c r="D148" s="7" t="s">
        <v>708</v>
      </c>
      <c r="E148" s="7" t="s">
        <v>711</v>
      </c>
      <c r="F148" s="7" t="s">
        <v>17</v>
      </c>
      <c r="G148" s="8">
        <v>45755.345555555556</v>
      </c>
      <c r="H148" s="7" t="s">
        <v>709</v>
      </c>
      <c r="I148" s="7" t="s">
        <v>712</v>
      </c>
      <c r="J148">
        <v>7</v>
      </c>
      <c r="K148" s="7" t="s">
        <v>30</v>
      </c>
      <c r="L148" s="7" t="s">
        <v>412</v>
      </c>
      <c r="M148" s="7" t="s">
        <v>413</v>
      </c>
      <c r="N148" s="7"/>
    </row>
    <row r="149" spans="1:14" hidden="1">
      <c r="A149" s="9" t="s">
        <v>172</v>
      </c>
      <c r="B149" t="str">
        <f>VLOOKUP(WH_Data[[#This Row],[Case Number]],Table2[[CaseNumber]:[Region__c]],1,FALSE)</f>
        <v>18160184</v>
      </c>
      <c r="C149" s="7" t="s">
        <v>414</v>
      </c>
      <c r="D149" s="7" t="s">
        <v>708</v>
      </c>
      <c r="E149" s="7" t="s">
        <v>529</v>
      </c>
      <c r="F149" s="7" t="s">
        <v>17</v>
      </c>
      <c r="G149" s="8">
        <v>45762.242002314815</v>
      </c>
      <c r="H149" s="7" t="s">
        <v>709</v>
      </c>
      <c r="I149" s="7" t="s">
        <v>713</v>
      </c>
      <c r="J149">
        <v>14</v>
      </c>
      <c r="K149" s="7" t="s">
        <v>30</v>
      </c>
      <c r="L149" s="7" t="s">
        <v>412</v>
      </c>
      <c r="M149" s="7" t="s">
        <v>413</v>
      </c>
      <c r="N149" s="7"/>
    </row>
    <row r="150" spans="1:14" hidden="1">
      <c r="A150" s="9" t="s">
        <v>173</v>
      </c>
      <c r="B150" t="str">
        <f>VLOOKUP(WH_Data[[#This Row],[Case Number]],Table2[[CaseNumber]:[Region__c]],1,FALSE)</f>
        <v>18160190</v>
      </c>
      <c r="C150" s="7" t="s">
        <v>414</v>
      </c>
      <c r="D150" s="7" t="s">
        <v>708</v>
      </c>
      <c r="E150" s="7" t="s">
        <v>714</v>
      </c>
      <c r="F150" s="7" t="s">
        <v>17</v>
      </c>
      <c r="G150" s="8">
        <v>45754.250902777778</v>
      </c>
      <c r="H150" s="7" t="s">
        <v>709</v>
      </c>
      <c r="I150" s="7" t="s">
        <v>715</v>
      </c>
      <c r="J150">
        <v>6</v>
      </c>
      <c r="K150" s="7" t="s">
        <v>30</v>
      </c>
      <c r="L150" s="7" t="s">
        <v>412</v>
      </c>
      <c r="M150" s="7" t="s">
        <v>413</v>
      </c>
      <c r="N150" s="7"/>
    </row>
    <row r="151" spans="1:14" hidden="1">
      <c r="A151" s="9" t="s">
        <v>174</v>
      </c>
      <c r="B151" t="str">
        <f>VLOOKUP(WH_Data[[#This Row],[Case Number]],Table2[[CaseNumber]:[Region__c]],1,FALSE)</f>
        <v>18160199</v>
      </c>
      <c r="C151" s="7" t="s">
        <v>414</v>
      </c>
      <c r="D151" s="7" t="s">
        <v>708</v>
      </c>
      <c r="E151" s="7" t="s">
        <v>419</v>
      </c>
      <c r="F151" s="7" t="s">
        <v>17</v>
      </c>
      <c r="G151" s="8">
        <v>45754.251481481479</v>
      </c>
      <c r="H151" s="7" t="s">
        <v>709</v>
      </c>
      <c r="I151" s="7" t="s">
        <v>716</v>
      </c>
      <c r="J151">
        <v>6</v>
      </c>
      <c r="K151" s="7" t="s">
        <v>30</v>
      </c>
      <c r="L151" s="7" t="s">
        <v>412</v>
      </c>
      <c r="M151" s="7" t="s">
        <v>413</v>
      </c>
      <c r="N151" s="7"/>
    </row>
    <row r="152" spans="1:14" hidden="1">
      <c r="A152" s="9" t="s">
        <v>175</v>
      </c>
      <c r="B152" t="str">
        <f>VLOOKUP(WH_Data[[#This Row],[Case Number]],Table2[[CaseNumber]:[Region__c]],1,FALSE)</f>
        <v>18160207</v>
      </c>
      <c r="C152" s="7" t="s">
        <v>414</v>
      </c>
      <c r="D152" s="7" t="s">
        <v>708</v>
      </c>
      <c r="E152" s="7" t="s">
        <v>647</v>
      </c>
      <c r="F152" s="7" t="s">
        <v>17</v>
      </c>
      <c r="G152" s="8">
        <v>45756.309953703705</v>
      </c>
      <c r="H152" s="7" t="s">
        <v>709</v>
      </c>
      <c r="I152" s="7" t="s">
        <v>717</v>
      </c>
      <c r="J152">
        <v>8</v>
      </c>
      <c r="K152" s="7" t="s">
        <v>30</v>
      </c>
      <c r="L152" s="7" t="s">
        <v>412</v>
      </c>
      <c r="M152" s="7" t="s">
        <v>413</v>
      </c>
      <c r="N152" s="7"/>
    </row>
    <row r="153" spans="1:14" hidden="1">
      <c r="A153" s="9" t="s">
        <v>176</v>
      </c>
      <c r="B153" t="str">
        <f>VLOOKUP(WH_Data[[#This Row],[Case Number]],Table2[[CaseNumber]:[Region__c]],1,FALSE)</f>
        <v>18160215</v>
      </c>
      <c r="C153" s="7" t="s">
        <v>414</v>
      </c>
      <c r="D153" s="7" t="s">
        <v>708</v>
      </c>
      <c r="E153" s="7" t="s">
        <v>588</v>
      </c>
      <c r="F153" s="7" t="s">
        <v>17</v>
      </c>
      <c r="G153" s="8">
        <v>45762.241342592592</v>
      </c>
      <c r="H153" s="7" t="s">
        <v>709</v>
      </c>
      <c r="I153" s="7" t="s">
        <v>718</v>
      </c>
      <c r="J153">
        <v>14</v>
      </c>
      <c r="K153" s="7" t="s">
        <v>30</v>
      </c>
      <c r="L153" s="7" t="s">
        <v>412</v>
      </c>
      <c r="M153" s="7" t="s">
        <v>413</v>
      </c>
      <c r="N153" s="7"/>
    </row>
    <row r="154" spans="1:14" hidden="1">
      <c r="A154" s="9" t="s">
        <v>177</v>
      </c>
      <c r="B154" t="str">
        <f>VLOOKUP(WH_Data[[#This Row],[Case Number]],Table2[[CaseNumber]:[Region__c]],1,FALSE)</f>
        <v>18160218</v>
      </c>
      <c r="C154" s="7" t="s">
        <v>414</v>
      </c>
      <c r="D154" s="7" t="s">
        <v>708</v>
      </c>
      <c r="E154" s="7" t="s">
        <v>484</v>
      </c>
      <c r="F154" s="7" t="s">
        <v>17</v>
      </c>
      <c r="G154" s="8">
        <v>45754.25068287037</v>
      </c>
      <c r="H154" s="7" t="s">
        <v>709</v>
      </c>
      <c r="I154" s="7" t="s">
        <v>719</v>
      </c>
      <c r="J154">
        <v>6</v>
      </c>
      <c r="K154" s="7" t="s">
        <v>30</v>
      </c>
      <c r="L154" s="7" t="s">
        <v>412</v>
      </c>
      <c r="M154" s="7" t="s">
        <v>413</v>
      </c>
      <c r="N154" s="7"/>
    </row>
    <row r="155" spans="1:14" hidden="1">
      <c r="A155" s="9" t="s">
        <v>178</v>
      </c>
      <c r="B155" t="str">
        <f>VLOOKUP(WH_Data[[#This Row],[Case Number]],Table2[[CaseNumber]:[Region__c]],1,FALSE)</f>
        <v>18160224</v>
      </c>
      <c r="C155" s="7" t="s">
        <v>414</v>
      </c>
      <c r="D155" s="7" t="s">
        <v>708</v>
      </c>
      <c r="E155" s="7" t="s">
        <v>457</v>
      </c>
      <c r="F155" s="7" t="s">
        <v>17</v>
      </c>
      <c r="G155" s="8">
        <v>45762.240983796299</v>
      </c>
      <c r="H155" s="7" t="s">
        <v>410</v>
      </c>
      <c r="I155" s="7" t="s">
        <v>709</v>
      </c>
      <c r="J155">
        <v>14</v>
      </c>
      <c r="K155" s="7" t="s">
        <v>30</v>
      </c>
      <c r="L155" s="7" t="s">
        <v>412</v>
      </c>
      <c r="M155" s="7" t="s">
        <v>413</v>
      </c>
      <c r="N155" s="7"/>
    </row>
    <row r="156" spans="1:14" hidden="1">
      <c r="A156" s="9" t="s">
        <v>179</v>
      </c>
      <c r="B156" t="str">
        <f>VLOOKUP(WH_Data[[#This Row],[Case Number]],Table2[[CaseNumber]:[Region__c]],1,FALSE)</f>
        <v>18160227</v>
      </c>
      <c r="C156" s="7" t="s">
        <v>414</v>
      </c>
      <c r="D156" s="7" t="s">
        <v>708</v>
      </c>
      <c r="E156" s="7" t="s">
        <v>616</v>
      </c>
      <c r="F156" s="7" t="s">
        <v>17</v>
      </c>
      <c r="G156" s="8">
        <v>45757.225624999999</v>
      </c>
      <c r="H156" s="7" t="s">
        <v>709</v>
      </c>
      <c r="I156" s="7" t="s">
        <v>720</v>
      </c>
      <c r="J156">
        <v>9</v>
      </c>
      <c r="K156" s="7" t="s">
        <v>30</v>
      </c>
      <c r="L156" s="7" t="s">
        <v>412</v>
      </c>
      <c r="M156" s="7" t="s">
        <v>413</v>
      </c>
      <c r="N156" s="7"/>
    </row>
    <row r="157" spans="1:14" hidden="1">
      <c r="A157" s="9" t="s">
        <v>180</v>
      </c>
      <c r="B157" t="str">
        <f>VLOOKUP(WH_Data[[#This Row],[Case Number]],Table2[[CaseNumber]:[Region__c]],1,FALSE)</f>
        <v>18160561</v>
      </c>
      <c r="C157" s="7" t="s">
        <v>422</v>
      </c>
      <c r="D157" s="7" t="s">
        <v>721</v>
      </c>
      <c r="E157" s="7" t="s">
        <v>424</v>
      </c>
      <c r="F157" s="7" t="s">
        <v>11</v>
      </c>
      <c r="G157" s="8">
        <v>45903.635717592595</v>
      </c>
      <c r="H157" s="7" t="s">
        <v>410</v>
      </c>
      <c r="I157" s="7" t="s">
        <v>722</v>
      </c>
      <c r="J157">
        <v>48</v>
      </c>
      <c r="K157" s="7" t="s">
        <v>30</v>
      </c>
      <c r="L157" s="7" t="s">
        <v>412</v>
      </c>
      <c r="M157" s="7" t="s">
        <v>413</v>
      </c>
      <c r="N157" s="7"/>
    </row>
    <row r="158" spans="1:14" hidden="1">
      <c r="A158" s="9" t="s">
        <v>181</v>
      </c>
      <c r="B158" t="str">
        <f>VLOOKUP(WH_Data[[#This Row],[Case Number]],Table2[[CaseNumber]:[Region__c]],1,FALSE)</f>
        <v>18163762</v>
      </c>
      <c r="C158" s="7" t="s">
        <v>407</v>
      </c>
      <c r="D158" s="7" t="s">
        <v>723</v>
      </c>
      <c r="E158" s="7" t="s">
        <v>498</v>
      </c>
      <c r="F158" s="7" t="s">
        <v>11</v>
      </c>
      <c r="G158" s="8">
        <v>45833.6327662037</v>
      </c>
      <c r="H158" s="7" t="s">
        <v>410</v>
      </c>
      <c r="I158" s="7" t="s">
        <v>724</v>
      </c>
      <c r="J158">
        <v>14</v>
      </c>
      <c r="K158" s="7" t="s">
        <v>30</v>
      </c>
      <c r="L158" s="7" t="s">
        <v>412</v>
      </c>
      <c r="M158" s="7" t="s">
        <v>413</v>
      </c>
      <c r="N158" s="7"/>
    </row>
    <row r="159" spans="1:14" hidden="1">
      <c r="A159" s="9" t="s">
        <v>182</v>
      </c>
      <c r="B159" t="str">
        <f>VLOOKUP(WH_Data[[#This Row],[Case Number]],Table2[[CaseNumber]:[Region__c]],1,FALSE)</f>
        <v>18163886</v>
      </c>
      <c r="C159" s="7" t="s">
        <v>407</v>
      </c>
      <c r="D159" s="7" t="s">
        <v>698</v>
      </c>
      <c r="E159" s="7" t="s">
        <v>476</v>
      </c>
      <c r="F159" s="7" t="s">
        <v>19</v>
      </c>
      <c r="G159" s="8">
        <v>45803.549513888887</v>
      </c>
      <c r="H159" s="7" t="s">
        <v>410</v>
      </c>
      <c r="I159" s="7" t="s">
        <v>725</v>
      </c>
      <c r="J159">
        <v>13</v>
      </c>
      <c r="K159" s="7" t="s">
        <v>30</v>
      </c>
      <c r="L159" s="7" t="s">
        <v>412</v>
      </c>
      <c r="M159" s="7" t="s">
        <v>413</v>
      </c>
      <c r="N159" s="7"/>
    </row>
    <row r="160" spans="1:14" hidden="1">
      <c r="A160" s="9" t="s">
        <v>183</v>
      </c>
      <c r="B160" t="str">
        <f>VLOOKUP(WH_Data[[#This Row],[Case Number]],Table2[[CaseNumber]:[Region__c]],1,FALSE)</f>
        <v>18163949</v>
      </c>
      <c r="C160" s="7" t="s">
        <v>407</v>
      </c>
      <c r="D160" s="7" t="s">
        <v>698</v>
      </c>
      <c r="E160" s="7" t="s">
        <v>714</v>
      </c>
      <c r="F160" s="7" t="s">
        <v>19</v>
      </c>
      <c r="G160" s="8">
        <v>45798.324606481481</v>
      </c>
      <c r="H160" s="7" t="s">
        <v>410</v>
      </c>
      <c r="I160" s="7" t="s">
        <v>726</v>
      </c>
      <c r="J160">
        <v>8</v>
      </c>
      <c r="K160" s="7" t="s">
        <v>30</v>
      </c>
      <c r="L160" s="7" t="s">
        <v>412</v>
      </c>
      <c r="M160" s="7" t="s">
        <v>413</v>
      </c>
      <c r="N160" s="7"/>
    </row>
    <row r="161" spans="1:14" hidden="1">
      <c r="A161" s="9" t="s">
        <v>184</v>
      </c>
      <c r="B161" t="str">
        <f>VLOOKUP(WH_Data[[#This Row],[Case Number]],Table2[[CaseNumber]:[Region__c]],1,FALSE)</f>
        <v>18164050</v>
      </c>
      <c r="C161" s="7" t="s">
        <v>407</v>
      </c>
      <c r="D161" s="7" t="s">
        <v>723</v>
      </c>
      <c r="E161" s="7" t="s">
        <v>484</v>
      </c>
      <c r="F161" s="7" t="s">
        <v>11</v>
      </c>
      <c r="G161" s="8">
        <v>45833.62090277778</v>
      </c>
      <c r="H161" s="7" t="s">
        <v>724</v>
      </c>
      <c r="I161" s="7" t="s">
        <v>727</v>
      </c>
      <c r="J161">
        <v>14</v>
      </c>
      <c r="K161" s="7" t="s">
        <v>30</v>
      </c>
      <c r="L161" s="7" t="s">
        <v>412</v>
      </c>
      <c r="M161" s="7" t="s">
        <v>413</v>
      </c>
      <c r="N161" s="7"/>
    </row>
    <row r="162" spans="1:14" hidden="1">
      <c r="A162" s="9" t="s">
        <v>185</v>
      </c>
      <c r="B162" t="str">
        <f>VLOOKUP(WH_Data[[#This Row],[Case Number]],Table2[[CaseNumber]:[Region__c]],1,FALSE)</f>
        <v>18164119</v>
      </c>
      <c r="C162" s="7" t="s">
        <v>407</v>
      </c>
      <c r="D162" s="7" t="s">
        <v>723</v>
      </c>
      <c r="E162" s="7" t="s">
        <v>453</v>
      </c>
      <c r="F162" s="7" t="s">
        <v>11</v>
      </c>
      <c r="G162" s="8">
        <v>45833.622314814813</v>
      </c>
      <c r="H162" s="7" t="s">
        <v>724</v>
      </c>
      <c r="I162" s="7" t="s">
        <v>728</v>
      </c>
      <c r="J162">
        <v>14</v>
      </c>
      <c r="K162" s="7" t="s">
        <v>30</v>
      </c>
      <c r="L162" s="7" t="s">
        <v>412</v>
      </c>
      <c r="M162" s="7" t="s">
        <v>413</v>
      </c>
      <c r="N162" s="7"/>
    </row>
    <row r="163" spans="1:14" hidden="1">
      <c r="A163" s="9" t="s">
        <v>186</v>
      </c>
      <c r="B163" t="str">
        <f>VLOOKUP(WH_Data[[#This Row],[Case Number]],Table2[[CaseNumber]:[Region__c]],1,FALSE)</f>
        <v>18164372</v>
      </c>
      <c r="C163" s="7" t="s">
        <v>407</v>
      </c>
      <c r="D163" s="7" t="s">
        <v>723</v>
      </c>
      <c r="E163" s="7" t="s">
        <v>463</v>
      </c>
      <c r="F163" s="7" t="s">
        <v>11</v>
      </c>
      <c r="G163" s="8">
        <v>45833.624351851853</v>
      </c>
      <c r="H163" s="7" t="s">
        <v>724</v>
      </c>
      <c r="I163" s="7" t="s">
        <v>729</v>
      </c>
      <c r="J163">
        <v>13</v>
      </c>
      <c r="K163" s="7" t="s">
        <v>30</v>
      </c>
      <c r="L163" s="7" t="s">
        <v>412</v>
      </c>
      <c r="M163" s="7" t="s">
        <v>413</v>
      </c>
      <c r="N163" s="7"/>
    </row>
    <row r="164" spans="1:14">
      <c r="A164" s="9" t="s">
        <v>1043</v>
      </c>
      <c r="B164" t="e">
        <f>VLOOKUP(WH_Data[[#This Row],[Case Number]],Table2[[CaseNumber]:[Region__c]],1,FALSE)</f>
        <v>#N/A</v>
      </c>
      <c r="C164" s="7" t="s">
        <v>407</v>
      </c>
      <c r="D164" s="7" t="s">
        <v>723</v>
      </c>
      <c r="E164" s="7" t="s">
        <v>433</v>
      </c>
      <c r="F164" s="7" t="s">
        <v>11</v>
      </c>
      <c r="G164" s="8">
        <v>45838.445173611108</v>
      </c>
      <c r="H164" s="7" t="s">
        <v>724</v>
      </c>
      <c r="I164" s="7" t="s">
        <v>730</v>
      </c>
      <c r="J164">
        <v>19</v>
      </c>
      <c r="K164" s="7" t="s">
        <v>30</v>
      </c>
      <c r="L164" s="7" t="s">
        <v>412</v>
      </c>
      <c r="M164" s="7" t="s">
        <v>413</v>
      </c>
      <c r="N164" s="7"/>
    </row>
    <row r="165" spans="1:14" hidden="1">
      <c r="A165" s="9" t="s">
        <v>187</v>
      </c>
      <c r="B165" t="str">
        <f>VLOOKUP(WH_Data[[#This Row],[Case Number]],Table2[[CaseNumber]:[Region__c]],1,FALSE)</f>
        <v>18164434</v>
      </c>
      <c r="C165" s="7" t="s">
        <v>407</v>
      </c>
      <c r="D165" s="7" t="s">
        <v>723</v>
      </c>
      <c r="E165" s="7" t="s">
        <v>436</v>
      </c>
      <c r="F165" s="7" t="s">
        <v>11</v>
      </c>
      <c r="G165" s="8">
        <v>45834.587534722225</v>
      </c>
      <c r="H165" s="7" t="s">
        <v>724</v>
      </c>
      <c r="I165" s="7" t="s">
        <v>731</v>
      </c>
      <c r="J165">
        <v>15</v>
      </c>
      <c r="K165" s="7" t="s">
        <v>30</v>
      </c>
      <c r="L165" s="7" t="s">
        <v>412</v>
      </c>
      <c r="M165" s="7" t="s">
        <v>413</v>
      </c>
      <c r="N165" s="7"/>
    </row>
    <row r="166" spans="1:14" hidden="1">
      <c r="A166" s="9" t="s">
        <v>188</v>
      </c>
      <c r="B166" t="str">
        <f>VLOOKUP(WH_Data[[#This Row],[Case Number]],Table2[[CaseNumber]:[Region__c]],1,FALSE)</f>
        <v>18164487</v>
      </c>
      <c r="C166" s="7" t="s">
        <v>407</v>
      </c>
      <c r="D166" s="7" t="s">
        <v>723</v>
      </c>
      <c r="E166" s="7" t="s">
        <v>546</v>
      </c>
      <c r="F166" s="7" t="s">
        <v>11</v>
      </c>
      <c r="G166" s="8">
        <v>45834.584814814814</v>
      </c>
      <c r="H166" s="7" t="s">
        <v>724</v>
      </c>
      <c r="I166" s="7" t="s">
        <v>732</v>
      </c>
      <c r="J166">
        <v>14</v>
      </c>
      <c r="K166" s="7" t="s">
        <v>30</v>
      </c>
      <c r="L166" s="7" t="s">
        <v>412</v>
      </c>
      <c r="M166" s="7" t="s">
        <v>413</v>
      </c>
      <c r="N166" s="7"/>
    </row>
    <row r="167" spans="1:14" hidden="1">
      <c r="A167" s="9" t="s">
        <v>189</v>
      </c>
      <c r="B167" t="str">
        <f>VLOOKUP(WH_Data[[#This Row],[Case Number]],Table2[[CaseNumber]:[Region__c]],1,FALSE)</f>
        <v>18164515</v>
      </c>
      <c r="C167" s="7" t="s">
        <v>407</v>
      </c>
      <c r="D167" s="7" t="s">
        <v>723</v>
      </c>
      <c r="E167" s="7" t="s">
        <v>616</v>
      </c>
      <c r="F167" s="7" t="s">
        <v>11</v>
      </c>
      <c r="G167" s="8">
        <v>45834.584861111114</v>
      </c>
      <c r="H167" s="7" t="s">
        <v>724</v>
      </c>
      <c r="I167" s="7" t="s">
        <v>733</v>
      </c>
      <c r="J167">
        <v>15</v>
      </c>
      <c r="K167" s="7" t="s">
        <v>30</v>
      </c>
      <c r="L167" s="7" t="s">
        <v>412</v>
      </c>
      <c r="M167" s="7" t="s">
        <v>413</v>
      </c>
      <c r="N167" s="7"/>
    </row>
    <row r="168" spans="1:14" hidden="1">
      <c r="A168" s="9" t="s">
        <v>190</v>
      </c>
      <c r="B168" t="str">
        <f>VLOOKUP(WH_Data[[#This Row],[Case Number]],Table2[[CaseNumber]:[Region__c]],1,FALSE)</f>
        <v>18164548</v>
      </c>
      <c r="C168" s="7" t="s">
        <v>407</v>
      </c>
      <c r="D168" s="7" t="s">
        <v>723</v>
      </c>
      <c r="E168" s="7" t="s">
        <v>734</v>
      </c>
      <c r="F168" s="7" t="s">
        <v>11</v>
      </c>
      <c r="G168" s="8">
        <v>45849.747604166667</v>
      </c>
      <c r="H168" s="7" t="s">
        <v>724</v>
      </c>
      <c r="I168" s="7" t="s">
        <v>735</v>
      </c>
      <c r="J168">
        <v>30</v>
      </c>
      <c r="K168" s="7" t="s">
        <v>30</v>
      </c>
      <c r="L168" s="7" t="s">
        <v>412</v>
      </c>
      <c r="M168" s="7" t="s">
        <v>413</v>
      </c>
      <c r="N168" s="7"/>
    </row>
    <row r="169" spans="1:14" hidden="1">
      <c r="A169" s="9" t="s">
        <v>191</v>
      </c>
      <c r="B169" t="str">
        <f>VLOOKUP(WH_Data[[#This Row],[Case Number]],Table2[[CaseNumber]:[Region__c]],1,FALSE)</f>
        <v>18166857</v>
      </c>
      <c r="C169" s="7" t="s">
        <v>422</v>
      </c>
      <c r="D169" s="7" t="s">
        <v>736</v>
      </c>
      <c r="E169" s="7" t="s">
        <v>427</v>
      </c>
      <c r="F169" s="7" t="s">
        <v>17</v>
      </c>
      <c r="G169" s="8">
        <v>45791.569930555554</v>
      </c>
      <c r="H169" s="7" t="s">
        <v>410</v>
      </c>
      <c r="I169" s="7" t="s">
        <v>737</v>
      </c>
      <c r="J169">
        <v>13</v>
      </c>
      <c r="K169" s="7" t="s">
        <v>30</v>
      </c>
      <c r="L169" s="7" t="s">
        <v>412</v>
      </c>
      <c r="M169" s="7" t="s">
        <v>413</v>
      </c>
      <c r="N169" s="7"/>
    </row>
    <row r="170" spans="1:14">
      <c r="A170" s="9" t="s">
        <v>1044</v>
      </c>
      <c r="B170" t="e">
        <f>VLOOKUP(WH_Data[[#This Row],[Case Number]],Table2[[CaseNumber]:[Region__c]],1,FALSE)</f>
        <v>#N/A</v>
      </c>
      <c r="C170" s="7" t="s">
        <v>422</v>
      </c>
      <c r="D170" s="7" t="s">
        <v>738</v>
      </c>
      <c r="E170" s="7" t="s">
        <v>739</v>
      </c>
      <c r="F170" s="7" t="s">
        <v>17</v>
      </c>
      <c r="G170" s="8">
        <v>45813.864733796298</v>
      </c>
      <c r="H170" s="7" t="s">
        <v>410</v>
      </c>
      <c r="I170" s="7" t="s">
        <v>740</v>
      </c>
      <c r="J170">
        <v>23</v>
      </c>
      <c r="K170" s="7" t="s">
        <v>30</v>
      </c>
      <c r="L170" s="7" t="s">
        <v>412</v>
      </c>
      <c r="M170" s="7" t="s">
        <v>413</v>
      </c>
      <c r="N170" s="7"/>
    </row>
    <row r="171" spans="1:14" hidden="1">
      <c r="A171" s="9" t="s">
        <v>192</v>
      </c>
      <c r="B171" t="str">
        <f>VLOOKUP(WH_Data[[#This Row],[Case Number]],Table2[[CaseNumber]:[Region__c]],1,FALSE)</f>
        <v>18173647</v>
      </c>
      <c r="C171" s="7" t="s">
        <v>422</v>
      </c>
      <c r="D171" s="7" t="s">
        <v>736</v>
      </c>
      <c r="E171" s="7" t="s">
        <v>651</v>
      </c>
      <c r="F171" s="7" t="s">
        <v>17</v>
      </c>
      <c r="G171" s="8">
        <v>45791.57</v>
      </c>
      <c r="H171" s="7" t="s">
        <v>737</v>
      </c>
      <c r="I171" s="7" t="s">
        <v>741</v>
      </c>
      <c r="J171">
        <v>13</v>
      </c>
      <c r="K171" s="7" t="s">
        <v>30</v>
      </c>
      <c r="L171" s="7" t="s">
        <v>412</v>
      </c>
      <c r="M171" s="7" t="s">
        <v>413</v>
      </c>
      <c r="N171" s="7"/>
    </row>
    <row r="172" spans="1:14" hidden="1">
      <c r="A172" s="9" t="s">
        <v>193</v>
      </c>
      <c r="B172" t="str">
        <f>VLOOKUP(WH_Data[[#This Row],[Case Number]],Table2[[CaseNumber]:[Region__c]],1,FALSE)</f>
        <v>18177875</v>
      </c>
      <c r="C172" s="7" t="s">
        <v>422</v>
      </c>
      <c r="D172" s="7" t="s">
        <v>580</v>
      </c>
      <c r="E172" s="7" t="s">
        <v>487</v>
      </c>
      <c r="F172" s="7" t="s">
        <v>15</v>
      </c>
      <c r="G172" s="8">
        <v>45876.404398148145</v>
      </c>
      <c r="H172" s="7" t="s">
        <v>410</v>
      </c>
      <c r="I172" s="7" t="s">
        <v>742</v>
      </c>
      <c r="J172">
        <v>62</v>
      </c>
      <c r="K172" s="7" t="s">
        <v>30</v>
      </c>
      <c r="L172" s="7" t="s">
        <v>412</v>
      </c>
      <c r="M172" s="7" t="s">
        <v>413</v>
      </c>
      <c r="N172" s="7"/>
    </row>
    <row r="173" spans="1:14" hidden="1">
      <c r="A173" s="9" t="s">
        <v>194</v>
      </c>
      <c r="B173" t="str">
        <f>VLOOKUP(WH_Data[[#This Row],[Case Number]],Table2[[CaseNumber]:[Region__c]],1,FALSE)</f>
        <v>18183403</v>
      </c>
      <c r="C173" s="7" t="s">
        <v>422</v>
      </c>
      <c r="D173" s="7" t="s">
        <v>736</v>
      </c>
      <c r="E173" s="7" t="s">
        <v>743</v>
      </c>
      <c r="F173" s="7" t="s">
        <v>17</v>
      </c>
      <c r="G173" s="8">
        <v>45791.570196759261</v>
      </c>
      <c r="H173" s="7" t="s">
        <v>737</v>
      </c>
      <c r="I173" s="7" t="s">
        <v>744</v>
      </c>
      <c r="J173">
        <v>13</v>
      </c>
      <c r="K173" s="7" t="s">
        <v>30</v>
      </c>
      <c r="L173" s="7" t="s">
        <v>412</v>
      </c>
      <c r="M173" s="7" t="s">
        <v>413</v>
      </c>
      <c r="N173" s="7"/>
    </row>
    <row r="174" spans="1:14" hidden="1">
      <c r="A174" s="9" t="s">
        <v>195</v>
      </c>
      <c r="B174" t="str">
        <f>VLOOKUP(WH_Data[[#This Row],[Case Number]],Table2[[CaseNumber]:[Region__c]],1,FALSE)</f>
        <v>18183421</v>
      </c>
      <c r="C174" s="7" t="s">
        <v>422</v>
      </c>
      <c r="D174" s="7" t="s">
        <v>736</v>
      </c>
      <c r="E174" s="7" t="s">
        <v>477</v>
      </c>
      <c r="F174" s="7" t="s">
        <v>17</v>
      </c>
      <c r="G174" s="8">
        <v>45791.570057870369</v>
      </c>
      <c r="H174" s="7" t="s">
        <v>737</v>
      </c>
      <c r="I174" s="7" t="s">
        <v>745</v>
      </c>
      <c r="J174">
        <v>12</v>
      </c>
      <c r="K174" s="7" t="s">
        <v>30</v>
      </c>
      <c r="L174" s="7" t="s">
        <v>412</v>
      </c>
      <c r="M174" s="7" t="s">
        <v>413</v>
      </c>
      <c r="N174" s="7"/>
    </row>
    <row r="175" spans="1:14" hidden="1">
      <c r="A175" s="9" t="s">
        <v>196</v>
      </c>
      <c r="B175" t="str">
        <f>VLOOKUP(WH_Data[[#This Row],[Case Number]],Table2[[CaseNumber]:[Region__c]],1,FALSE)</f>
        <v>18183440</v>
      </c>
      <c r="C175" s="7" t="s">
        <v>422</v>
      </c>
      <c r="D175" s="7" t="s">
        <v>736</v>
      </c>
      <c r="E175" s="7" t="s">
        <v>474</v>
      </c>
      <c r="F175" s="7" t="s">
        <v>17</v>
      </c>
      <c r="G175" s="8">
        <v>45791.570138888892</v>
      </c>
      <c r="H175" s="7" t="s">
        <v>737</v>
      </c>
      <c r="I175" s="7" t="s">
        <v>746</v>
      </c>
      <c r="J175">
        <v>12</v>
      </c>
      <c r="K175" s="7" t="s">
        <v>30</v>
      </c>
      <c r="L175" s="7" t="s">
        <v>412</v>
      </c>
      <c r="M175" s="7" t="s">
        <v>413</v>
      </c>
      <c r="N175" s="7"/>
    </row>
    <row r="176" spans="1:14" hidden="1">
      <c r="A176" s="9" t="s">
        <v>197</v>
      </c>
      <c r="B176" t="str">
        <f>VLOOKUP(WH_Data[[#This Row],[Case Number]],Table2[[CaseNumber]:[Region__c]],1,FALSE)</f>
        <v>18183511</v>
      </c>
      <c r="C176" s="7" t="s">
        <v>422</v>
      </c>
      <c r="D176" s="7" t="s">
        <v>736</v>
      </c>
      <c r="E176" s="7" t="s">
        <v>678</v>
      </c>
      <c r="F176" s="7" t="s">
        <v>17</v>
      </c>
      <c r="G176" s="8">
        <v>45791.570092592592</v>
      </c>
      <c r="H176" s="7" t="s">
        <v>737</v>
      </c>
      <c r="I176" s="7" t="s">
        <v>747</v>
      </c>
      <c r="J176">
        <v>12</v>
      </c>
      <c r="K176" s="7" t="s">
        <v>30</v>
      </c>
      <c r="L176" s="7" t="s">
        <v>412</v>
      </c>
      <c r="M176" s="7" t="s">
        <v>413</v>
      </c>
      <c r="N176" s="7"/>
    </row>
    <row r="177" spans="1:14" hidden="1">
      <c r="A177" s="9" t="s">
        <v>198</v>
      </c>
      <c r="B177" t="str">
        <f>VLOOKUP(WH_Data[[#This Row],[Case Number]],Table2[[CaseNumber]:[Region__c]],1,FALSE)</f>
        <v>18183609</v>
      </c>
      <c r="C177" s="7" t="s">
        <v>422</v>
      </c>
      <c r="D177" s="7" t="s">
        <v>736</v>
      </c>
      <c r="E177" s="7" t="s">
        <v>662</v>
      </c>
      <c r="F177" s="7" t="s">
        <v>17</v>
      </c>
      <c r="G177" s="8">
        <v>45791.570532407408</v>
      </c>
      <c r="H177" s="7" t="s">
        <v>737</v>
      </c>
      <c r="I177" s="7" t="s">
        <v>748</v>
      </c>
      <c r="J177">
        <v>9</v>
      </c>
      <c r="K177" s="7" t="s">
        <v>30</v>
      </c>
      <c r="L177" s="7" t="s">
        <v>412</v>
      </c>
      <c r="M177" s="7" t="s">
        <v>413</v>
      </c>
      <c r="N177" s="7"/>
    </row>
    <row r="178" spans="1:14" hidden="1">
      <c r="A178" s="9" t="s">
        <v>199</v>
      </c>
      <c r="B178" t="str">
        <f>VLOOKUP(WH_Data[[#This Row],[Case Number]],Table2[[CaseNumber]:[Region__c]],1,FALSE)</f>
        <v>18183642</v>
      </c>
      <c r="C178" s="7" t="s">
        <v>422</v>
      </c>
      <c r="D178" s="7" t="s">
        <v>736</v>
      </c>
      <c r="E178" s="7" t="s">
        <v>509</v>
      </c>
      <c r="F178" s="7" t="s">
        <v>17</v>
      </c>
      <c r="G178" s="8">
        <v>45791.570254629631</v>
      </c>
      <c r="H178" s="7" t="s">
        <v>737</v>
      </c>
      <c r="I178" s="7" t="s">
        <v>749</v>
      </c>
      <c r="J178">
        <v>13</v>
      </c>
      <c r="K178" s="7" t="s">
        <v>30</v>
      </c>
      <c r="L178" s="7" t="s">
        <v>412</v>
      </c>
      <c r="M178" s="7" t="s">
        <v>413</v>
      </c>
      <c r="N178" s="7"/>
    </row>
    <row r="179" spans="1:14" hidden="1">
      <c r="A179" s="9" t="s">
        <v>200</v>
      </c>
      <c r="B179" t="str">
        <f>VLOOKUP(WH_Data[[#This Row],[Case Number]],Table2[[CaseNumber]:[Region__c]],1,FALSE)</f>
        <v>18183660</v>
      </c>
      <c r="C179" s="7" t="s">
        <v>422</v>
      </c>
      <c r="D179" s="7" t="s">
        <v>736</v>
      </c>
      <c r="E179" s="7" t="s">
        <v>446</v>
      </c>
      <c r="F179" s="7" t="s">
        <v>17</v>
      </c>
      <c r="G179" s="8">
        <v>45791.570300925923</v>
      </c>
      <c r="H179" s="7" t="s">
        <v>737</v>
      </c>
      <c r="I179" s="7" t="s">
        <v>750</v>
      </c>
      <c r="J179">
        <v>12</v>
      </c>
      <c r="K179" s="7" t="s">
        <v>30</v>
      </c>
      <c r="L179" s="7" t="s">
        <v>412</v>
      </c>
      <c r="M179" s="7" t="s">
        <v>413</v>
      </c>
      <c r="N179" s="7"/>
    </row>
    <row r="180" spans="1:14" hidden="1">
      <c r="A180" s="9" t="s">
        <v>201</v>
      </c>
      <c r="B180" t="str">
        <f>VLOOKUP(WH_Data[[#This Row],[Case Number]],Table2[[CaseNumber]:[Region__c]],1,FALSE)</f>
        <v>18183678</v>
      </c>
      <c r="C180" s="7" t="s">
        <v>422</v>
      </c>
      <c r="D180" s="7" t="s">
        <v>736</v>
      </c>
      <c r="E180" s="7" t="s">
        <v>576</v>
      </c>
      <c r="F180" s="7" t="s">
        <v>17</v>
      </c>
      <c r="G180" s="8">
        <v>45791.5705787037</v>
      </c>
      <c r="H180" s="7" t="s">
        <v>737</v>
      </c>
      <c r="I180" s="7" t="s">
        <v>751</v>
      </c>
      <c r="J180">
        <v>9</v>
      </c>
      <c r="K180" s="7" t="s">
        <v>30</v>
      </c>
      <c r="L180" s="7" t="s">
        <v>412</v>
      </c>
      <c r="M180" s="7" t="s">
        <v>413</v>
      </c>
      <c r="N180" s="7"/>
    </row>
    <row r="181" spans="1:14" hidden="1">
      <c r="A181" s="9" t="s">
        <v>202</v>
      </c>
      <c r="B181" t="str">
        <f>VLOOKUP(WH_Data[[#This Row],[Case Number]],Table2[[CaseNumber]:[Region__c]],1,FALSE)</f>
        <v>18183899</v>
      </c>
      <c r="C181" s="7" t="s">
        <v>422</v>
      </c>
      <c r="D181" s="7" t="s">
        <v>752</v>
      </c>
      <c r="E181" s="7" t="s">
        <v>753</v>
      </c>
      <c r="F181" s="7" t="s">
        <v>11</v>
      </c>
      <c r="G181" s="8">
        <v>45853.610243055555</v>
      </c>
      <c r="H181" s="7" t="s">
        <v>410</v>
      </c>
      <c r="I181" s="7" t="s">
        <v>754</v>
      </c>
      <c r="J181">
        <v>6</v>
      </c>
      <c r="K181" s="7" t="s">
        <v>30</v>
      </c>
      <c r="L181" s="7" t="s">
        <v>412</v>
      </c>
      <c r="M181" s="7" t="s">
        <v>413</v>
      </c>
      <c r="N181" s="7"/>
    </row>
    <row r="182" spans="1:14" hidden="1">
      <c r="A182" s="9" t="s">
        <v>203</v>
      </c>
      <c r="B182" t="str">
        <f>VLOOKUP(WH_Data[[#This Row],[Case Number]],Table2[[CaseNumber]:[Region__c]],1,FALSE)</f>
        <v>18185605</v>
      </c>
      <c r="C182" s="7" t="s">
        <v>407</v>
      </c>
      <c r="D182" s="7" t="s">
        <v>698</v>
      </c>
      <c r="E182" s="7" t="s">
        <v>450</v>
      </c>
      <c r="F182" s="7" t="s">
        <v>19</v>
      </c>
      <c r="G182" s="8">
        <v>45803.55097222222</v>
      </c>
      <c r="H182" s="7" t="s">
        <v>410</v>
      </c>
      <c r="I182" s="7" t="s">
        <v>755</v>
      </c>
      <c r="J182">
        <v>13</v>
      </c>
      <c r="K182" s="7" t="s">
        <v>30</v>
      </c>
      <c r="L182" s="7" t="s">
        <v>412</v>
      </c>
      <c r="M182" s="7" t="s">
        <v>413</v>
      </c>
      <c r="N182" s="7"/>
    </row>
    <row r="183" spans="1:14" hidden="1">
      <c r="A183" s="9" t="s">
        <v>204</v>
      </c>
      <c r="B183" t="str">
        <f>VLOOKUP(WH_Data[[#This Row],[Case Number]],Table2[[CaseNumber]:[Region__c]],1,FALSE)</f>
        <v>18186032</v>
      </c>
      <c r="C183" s="7" t="s">
        <v>422</v>
      </c>
      <c r="D183" s="7" t="s">
        <v>508</v>
      </c>
      <c r="E183" s="7" t="s">
        <v>619</v>
      </c>
      <c r="F183" s="7" t="s">
        <v>19</v>
      </c>
      <c r="G183" s="8">
        <v>45791.485011574077</v>
      </c>
      <c r="H183" s="7" t="s">
        <v>410</v>
      </c>
      <c r="I183" s="7" t="s">
        <v>756</v>
      </c>
      <c r="J183">
        <v>13</v>
      </c>
      <c r="K183" s="7" t="s">
        <v>30</v>
      </c>
      <c r="L183" s="7" t="s">
        <v>412</v>
      </c>
      <c r="M183" s="7" t="s">
        <v>413</v>
      </c>
      <c r="N183" s="7"/>
    </row>
    <row r="184" spans="1:14" hidden="1">
      <c r="A184" s="9" t="s">
        <v>205</v>
      </c>
      <c r="B184" t="str">
        <f>VLOOKUP(WH_Data[[#This Row],[Case Number]],Table2[[CaseNumber]:[Region__c]],1,FALSE)</f>
        <v>18193979</v>
      </c>
      <c r="C184" s="7" t="s">
        <v>407</v>
      </c>
      <c r="D184" s="7" t="s">
        <v>698</v>
      </c>
      <c r="E184" s="7" t="s">
        <v>474</v>
      </c>
      <c r="F184" s="7" t="s">
        <v>19</v>
      </c>
      <c r="G184" s="8">
        <v>45798.319664351853</v>
      </c>
      <c r="H184" s="7" t="s">
        <v>410</v>
      </c>
      <c r="I184" s="7" t="s">
        <v>757</v>
      </c>
      <c r="J184">
        <v>8</v>
      </c>
      <c r="K184" s="7" t="s">
        <v>30</v>
      </c>
      <c r="L184" s="7" t="s">
        <v>412</v>
      </c>
      <c r="M184" s="7" t="s">
        <v>413</v>
      </c>
      <c r="N184" s="7"/>
    </row>
    <row r="185" spans="1:14" hidden="1">
      <c r="A185" s="9" t="s">
        <v>206</v>
      </c>
      <c r="B185" t="str">
        <f>VLOOKUP(WH_Data[[#This Row],[Case Number]],Table2[[CaseNumber]:[Region__c]],1,FALSE)</f>
        <v>18213252</v>
      </c>
      <c r="C185" s="7" t="s">
        <v>414</v>
      </c>
      <c r="D185" s="7" t="s">
        <v>758</v>
      </c>
      <c r="E185" s="7" t="s">
        <v>529</v>
      </c>
      <c r="F185" s="7" t="s">
        <v>19</v>
      </c>
      <c r="G185" s="8">
        <v>45840.270856481482</v>
      </c>
      <c r="H185" s="7" t="s">
        <v>410</v>
      </c>
      <c r="I185" s="7" t="s">
        <v>759</v>
      </c>
      <c r="J185">
        <v>7</v>
      </c>
      <c r="K185" s="7" t="s">
        <v>30</v>
      </c>
      <c r="L185" s="7" t="s">
        <v>412</v>
      </c>
      <c r="M185" s="7" t="s">
        <v>413</v>
      </c>
      <c r="N185" s="7"/>
    </row>
    <row r="186" spans="1:14" hidden="1">
      <c r="A186" s="9" t="s">
        <v>207</v>
      </c>
      <c r="B186" t="str">
        <f>VLOOKUP(WH_Data[[#This Row],[Case Number]],Table2[[CaseNumber]:[Region__c]],1,FALSE)</f>
        <v>18217096</v>
      </c>
      <c r="C186" s="7" t="s">
        <v>414</v>
      </c>
      <c r="D186" s="7" t="s">
        <v>554</v>
      </c>
      <c r="E186" s="7" t="s">
        <v>760</v>
      </c>
      <c r="F186" s="7" t="s">
        <v>11</v>
      </c>
      <c r="G186" s="8">
        <v>45799.292743055557</v>
      </c>
      <c r="H186" s="7" t="s">
        <v>410</v>
      </c>
      <c r="I186" s="7" t="s">
        <v>761</v>
      </c>
      <c r="J186">
        <v>10</v>
      </c>
      <c r="K186" s="7" t="s">
        <v>30</v>
      </c>
      <c r="L186" s="7" t="s">
        <v>412</v>
      </c>
      <c r="M186" s="7" t="s">
        <v>413</v>
      </c>
      <c r="N186" s="7"/>
    </row>
    <row r="187" spans="1:14" hidden="1">
      <c r="A187" s="9" t="s">
        <v>208</v>
      </c>
      <c r="B187" t="str">
        <f>VLOOKUP(WH_Data[[#This Row],[Case Number]],Table2[[CaseNumber]:[Region__c]],1,FALSE)</f>
        <v>18217234</v>
      </c>
      <c r="C187" s="7" t="s">
        <v>414</v>
      </c>
      <c r="D187" s="7" t="s">
        <v>762</v>
      </c>
      <c r="E187" s="7" t="s">
        <v>476</v>
      </c>
      <c r="F187" s="7" t="s">
        <v>44</v>
      </c>
      <c r="G187" s="8">
        <v>45958.552129629628</v>
      </c>
      <c r="H187" s="7" t="s">
        <v>410</v>
      </c>
      <c r="I187" s="7" t="s">
        <v>763</v>
      </c>
      <c r="J187">
        <v>14</v>
      </c>
      <c r="K187" s="7" t="s">
        <v>30</v>
      </c>
      <c r="L187" s="7" t="s">
        <v>412</v>
      </c>
      <c r="M187" s="7" t="s">
        <v>413</v>
      </c>
      <c r="N187" s="7"/>
    </row>
    <row r="188" spans="1:14" hidden="1">
      <c r="A188" s="9" t="s">
        <v>209</v>
      </c>
      <c r="B188" t="str">
        <f>VLOOKUP(WH_Data[[#This Row],[Case Number]],Table2[[CaseNumber]:[Region__c]],1,FALSE)</f>
        <v>18220090</v>
      </c>
      <c r="C188" s="7" t="s">
        <v>414</v>
      </c>
      <c r="D188" s="7" t="s">
        <v>764</v>
      </c>
      <c r="E188" s="7" t="s">
        <v>573</v>
      </c>
      <c r="F188" s="7" t="s">
        <v>11</v>
      </c>
      <c r="G188" s="8">
        <v>45778.340405092589</v>
      </c>
      <c r="H188" s="7" t="s">
        <v>410</v>
      </c>
      <c r="I188" s="7" t="s">
        <v>765</v>
      </c>
      <c r="J188">
        <v>9</v>
      </c>
      <c r="K188" s="7" t="s">
        <v>30</v>
      </c>
      <c r="L188" s="7" t="s">
        <v>412</v>
      </c>
      <c r="M188" s="7" t="s">
        <v>413</v>
      </c>
      <c r="N188" s="7"/>
    </row>
    <row r="189" spans="1:14" hidden="1">
      <c r="A189" s="9" t="s">
        <v>210</v>
      </c>
      <c r="B189" t="str">
        <f>VLOOKUP(WH_Data[[#This Row],[Case Number]],Table2[[CaseNumber]:[Region__c]],1,FALSE)</f>
        <v>18221636</v>
      </c>
      <c r="C189" s="7" t="s">
        <v>422</v>
      </c>
      <c r="D189" s="7" t="s">
        <v>766</v>
      </c>
      <c r="E189" s="7" t="s">
        <v>767</v>
      </c>
      <c r="F189" s="7" t="s">
        <v>11</v>
      </c>
      <c r="G189" s="8">
        <v>45817.713599537034</v>
      </c>
      <c r="H189" s="7" t="s">
        <v>410</v>
      </c>
      <c r="I189" s="7" t="s">
        <v>768</v>
      </c>
      <c r="J189">
        <v>28</v>
      </c>
      <c r="K189" s="7" t="s">
        <v>30</v>
      </c>
      <c r="L189" s="7" t="s">
        <v>412</v>
      </c>
      <c r="M189" s="7" t="s">
        <v>413</v>
      </c>
      <c r="N189" s="7"/>
    </row>
    <row r="190" spans="1:14" hidden="1">
      <c r="A190" s="9" t="s">
        <v>211</v>
      </c>
      <c r="B190" t="str">
        <f>VLOOKUP(WH_Data[[#This Row],[Case Number]],Table2[[CaseNumber]:[Region__c]],1,FALSE)</f>
        <v>18234524</v>
      </c>
      <c r="C190" s="7" t="s">
        <v>407</v>
      </c>
      <c r="D190" s="7" t="s">
        <v>580</v>
      </c>
      <c r="E190" s="7" t="s">
        <v>769</v>
      </c>
      <c r="F190" s="7" t="s">
        <v>15</v>
      </c>
      <c r="G190" s="8">
        <v>45887.268807870372</v>
      </c>
      <c r="H190" s="7" t="s">
        <v>410</v>
      </c>
      <c r="I190" s="7" t="s">
        <v>770</v>
      </c>
      <c r="J190">
        <v>17</v>
      </c>
      <c r="K190" s="7" t="s">
        <v>30</v>
      </c>
      <c r="L190" s="7" t="s">
        <v>412</v>
      </c>
      <c r="M190" s="7" t="s">
        <v>413</v>
      </c>
      <c r="N190" s="7"/>
    </row>
    <row r="191" spans="1:14" hidden="1">
      <c r="A191" s="9" t="s">
        <v>212</v>
      </c>
      <c r="B191" t="str">
        <f>VLOOKUP(WH_Data[[#This Row],[Case Number]],Table2[[CaseNumber]:[Region__c]],1,FALSE)</f>
        <v>18239196</v>
      </c>
      <c r="C191" s="7" t="s">
        <v>414</v>
      </c>
      <c r="D191" s="7" t="s">
        <v>571</v>
      </c>
      <c r="E191" s="7" t="s">
        <v>596</v>
      </c>
      <c r="F191" s="7" t="s">
        <v>11</v>
      </c>
      <c r="G191" s="8">
        <v>45799.254710648151</v>
      </c>
      <c r="H191" s="7" t="s">
        <v>410</v>
      </c>
      <c r="I191" s="7" t="s">
        <v>771</v>
      </c>
      <c r="J191">
        <v>10</v>
      </c>
      <c r="K191" s="7" t="s">
        <v>30</v>
      </c>
      <c r="L191" s="7" t="s">
        <v>412</v>
      </c>
      <c r="M191" s="7" t="s">
        <v>413</v>
      </c>
      <c r="N191" s="7"/>
    </row>
    <row r="192" spans="1:14" hidden="1">
      <c r="A192" s="9" t="s">
        <v>213</v>
      </c>
      <c r="B192" t="str">
        <f>VLOOKUP(WH_Data[[#This Row],[Case Number]],Table2[[CaseNumber]:[Region__c]],1,FALSE)</f>
        <v>18245511</v>
      </c>
      <c r="C192" s="7" t="s">
        <v>414</v>
      </c>
      <c r="D192" s="7" t="s">
        <v>772</v>
      </c>
      <c r="E192" s="7" t="s">
        <v>773</v>
      </c>
      <c r="F192" s="7" t="s">
        <v>11</v>
      </c>
      <c r="G192" s="8">
        <v>45870.511203703703</v>
      </c>
      <c r="H192" s="7" t="s">
        <v>410</v>
      </c>
      <c r="I192" s="7" t="s">
        <v>774</v>
      </c>
      <c r="J192">
        <v>11</v>
      </c>
      <c r="K192" s="7" t="s">
        <v>30</v>
      </c>
      <c r="L192" s="7" t="s">
        <v>412</v>
      </c>
      <c r="M192" s="7" t="s">
        <v>413</v>
      </c>
      <c r="N192" s="7"/>
    </row>
    <row r="193" spans="1:14" hidden="1">
      <c r="A193" s="9" t="s">
        <v>214</v>
      </c>
      <c r="B193" t="str">
        <f>VLOOKUP(WH_Data[[#This Row],[Case Number]],Table2[[CaseNumber]:[Region__c]],1,FALSE)</f>
        <v>18245601</v>
      </c>
      <c r="C193" s="7" t="s">
        <v>414</v>
      </c>
      <c r="D193" s="7" t="s">
        <v>772</v>
      </c>
      <c r="E193" s="7" t="s">
        <v>775</v>
      </c>
      <c r="F193" s="7" t="s">
        <v>11</v>
      </c>
      <c r="G193" s="8">
        <v>45846.312627314815</v>
      </c>
      <c r="H193" s="7" t="s">
        <v>410</v>
      </c>
      <c r="I193" s="7" t="s">
        <v>776</v>
      </c>
      <c r="J193">
        <v>5</v>
      </c>
      <c r="K193" s="7" t="s">
        <v>30</v>
      </c>
      <c r="L193" s="7" t="s">
        <v>412</v>
      </c>
      <c r="M193" s="7" t="s">
        <v>413</v>
      </c>
      <c r="N193" s="7"/>
    </row>
    <row r="194" spans="1:14" hidden="1">
      <c r="A194" s="9" t="s">
        <v>215</v>
      </c>
      <c r="B194" t="str">
        <f>VLOOKUP(WH_Data[[#This Row],[Case Number]],Table2[[CaseNumber]:[Region__c]],1,FALSE)</f>
        <v>18245868</v>
      </c>
      <c r="C194" s="7" t="s">
        <v>414</v>
      </c>
      <c r="D194" s="7" t="s">
        <v>772</v>
      </c>
      <c r="E194" s="7" t="s">
        <v>596</v>
      </c>
      <c r="F194" s="7" t="s">
        <v>11</v>
      </c>
      <c r="G194" s="8">
        <v>45846.634305555555</v>
      </c>
      <c r="H194" s="7" t="s">
        <v>410</v>
      </c>
      <c r="I194" s="7" t="s">
        <v>777</v>
      </c>
      <c r="J194">
        <v>0</v>
      </c>
      <c r="K194" s="7" t="s">
        <v>30</v>
      </c>
      <c r="L194" s="7" t="s">
        <v>412</v>
      </c>
      <c r="M194" s="7" t="s">
        <v>413</v>
      </c>
      <c r="N194" s="7"/>
    </row>
    <row r="195" spans="1:14" hidden="1">
      <c r="A195" s="9" t="s">
        <v>216</v>
      </c>
      <c r="B195" t="str">
        <f>VLOOKUP(WH_Data[[#This Row],[Case Number]],Table2[[CaseNumber]:[Region__c]],1,FALSE)</f>
        <v>18249352</v>
      </c>
      <c r="C195" s="7" t="s">
        <v>414</v>
      </c>
      <c r="D195" s="7" t="s">
        <v>680</v>
      </c>
      <c r="E195" s="7" t="s">
        <v>514</v>
      </c>
      <c r="F195" s="7" t="s">
        <v>44</v>
      </c>
      <c r="G195" s="8">
        <v>45860.31890046296</v>
      </c>
      <c r="H195" s="7" t="s">
        <v>410</v>
      </c>
      <c r="I195" s="7" t="s">
        <v>778</v>
      </c>
      <c r="J195">
        <v>12</v>
      </c>
      <c r="K195" s="7" t="s">
        <v>30</v>
      </c>
      <c r="L195" s="7" t="s">
        <v>412</v>
      </c>
      <c r="M195" s="7" t="s">
        <v>413</v>
      </c>
      <c r="N195" s="7"/>
    </row>
    <row r="196" spans="1:14" hidden="1">
      <c r="A196" s="9" t="s">
        <v>217</v>
      </c>
      <c r="B196" t="str">
        <f>VLOOKUP(WH_Data[[#This Row],[Case Number]],Table2[[CaseNumber]:[Region__c]],1,FALSE)</f>
        <v>18250506</v>
      </c>
      <c r="C196" s="7" t="s">
        <v>422</v>
      </c>
      <c r="D196" s="7" t="s">
        <v>528</v>
      </c>
      <c r="E196" s="7" t="s">
        <v>433</v>
      </c>
      <c r="F196" s="7" t="s">
        <v>19</v>
      </c>
      <c r="G196" s="8">
        <v>45912.920567129629</v>
      </c>
      <c r="H196" s="7" t="s">
        <v>410</v>
      </c>
      <c r="I196" s="7" t="s">
        <v>779</v>
      </c>
      <c r="J196">
        <v>51</v>
      </c>
      <c r="K196" s="7" t="s">
        <v>30</v>
      </c>
      <c r="L196" s="7" t="s">
        <v>412</v>
      </c>
      <c r="M196" s="7" t="s">
        <v>413</v>
      </c>
      <c r="N196" s="7"/>
    </row>
    <row r="197" spans="1:14" hidden="1">
      <c r="A197" s="9" t="s">
        <v>218</v>
      </c>
      <c r="B197" t="str">
        <f>VLOOKUP(WH_Data[[#This Row],[Case Number]],Table2[[CaseNumber]:[Region__c]],1,FALSE)</f>
        <v>18262473</v>
      </c>
      <c r="C197" s="7" t="s">
        <v>407</v>
      </c>
      <c r="D197" s="7" t="s">
        <v>780</v>
      </c>
      <c r="E197" s="7" t="s">
        <v>474</v>
      </c>
      <c r="F197" s="7" t="s">
        <v>11</v>
      </c>
      <c r="G197" s="8">
        <v>45789.555358796293</v>
      </c>
      <c r="H197" s="7" t="s">
        <v>410</v>
      </c>
      <c r="I197" s="7" t="s">
        <v>781</v>
      </c>
      <c r="J197">
        <v>12</v>
      </c>
      <c r="K197" s="7" t="s">
        <v>30</v>
      </c>
      <c r="L197" s="7" t="s">
        <v>412</v>
      </c>
      <c r="M197" s="7" t="s">
        <v>413</v>
      </c>
      <c r="N197" s="7"/>
    </row>
    <row r="198" spans="1:14" hidden="1">
      <c r="A198" s="9" t="s">
        <v>219</v>
      </c>
      <c r="B198" t="str">
        <f>VLOOKUP(WH_Data[[#This Row],[Case Number]],Table2[[CaseNumber]:[Region__c]],1,FALSE)</f>
        <v>18263590</v>
      </c>
      <c r="C198" s="7" t="s">
        <v>422</v>
      </c>
      <c r="D198" s="7" t="s">
        <v>782</v>
      </c>
      <c r="E198" s="7" t="s">
        <v>783</v>
      </c>
      <c r="F198" s="7" t="s">
        <v>11</v>
      </c>
      <c r="G198" s="8">
        <v>45853.651423611111</v>
      </c>
      <c r="H198" s="7" t="s">
        <v>410</v>
      </c>
      <c r="I198" s="7" t="s">
        <v>784</v>
      </c>
      <c r="J198">
        <v>35</v>
      </c>
      <c r="K198" s="7" t="s">
        <v>30</v>
      </c>
      <c r="L198" s="7" t="s">
        <v>412</v>
      </c>
      <c r="M198" s="7" t="s">
        <v>413</v>
      </c>
      <c r="N198" s="7"/>
    </row>
    <row r="199" spans="1:14" hidden="1">
      <c r="A199" s="9" t="s">
        <v>220</v>
      </c>
      <c r="B199" t="str">
        <f>VLOOKUP(WH_Data[[#This Row],[Case Number]],Table2[[CaseNumber]:[Region__c]],1,FALSE)</f>
        <v>18263725</v>
      </c>
      <c r="C199" s="7" t="s">
        <v>414</v>
      </c>
      <c r="D199" s="7" t="s">
        <v>785</v>
      </c>
      <c r="E199" s="7" t="s">
        <v>427</v>
      </c>
      <c r="F199" s="7" t="s">
        <v>11</v>
      </c>
      <c r="G199" s="8">
        <v>45804.327118055553</v>
      </c>
      <c r="H199" s="7" t="s">
        <v>410</v>
      </c>
      <c r="I199" s="7" t="s">
        <v>786</v>
      </c>
      <c r="J199">
        <v>15</v>
      </c>
      <c r="K199" s="7" t="s">
        <v>30</v>
      </c>
      <c r="L199" s="7" t="s">
        <v>412</v>
      </c>
      <c r="M199" s="7" t="s">
        <v>413</v>
      </c>
      <c r="N199" s="7"/>
    </row>
    <row r="200" spans="1:14" hidden="1">
      <c r="A200" s="9" t="s">
        <v>221</v>
      </c>
      <c r="B200" t="str">
        <f>VLOOKUP(WH_Data[[#This Row],[Case Number]],Table2[[CaseNumber]:[Region__c]],1,FALSE)</f>
        <v>18273249</v>
      </c>
      <c r="C200" s="7" t="s">
        <v>407</v>
      </c>
      <c r="D200" s="7" t="s">
        <v>787</v>
      </c>
      <c r="E200" s="7" t="s">
        <v>769</v>
      </c>
      <c r="F200" s="7" t="s">
        <v>11</v>
      </c>
      <c r="G200" s="8">
        <v>45909.670243055552</v>
      </c>
      <c r="H200" s="7" t="s">
        <v>410</v>
      </c>
      <c r="I200" s="7" t="s">
        <v>788</v>
      </c>
      <c r="J200">
        <v>15</v>
      </c>
      <c r="K200" s="7" t="s">
        <v>30</v>
      </c>
      <c r="L200" s="7" t="s">
        <v>412</v>
      </c>
      <c r="M200" s="7" t="s">
        <v>413</v>
      </c>
      <c r="N200" s="7"/>
    </row>
    <row r="201" spans="1:14" hidden="1">
      <c r="A201" s="9" t="s">
        <v>222</v>
      </c>
      <c r="B201" t="str">
        <f>VLOOKUP(WH_Data[[#This Row],[Case Number]],Table2[[CaseNumber]:[Region__c]],1,FALSE)</f>
        <v>18275724</v>
      </c>
      <c r="C201" s="7" t="s">
        <v>407</v>
      </c>
      <c r="D201" s="7" t="s">
        <v>689</v>
      </c>
      <c r="E201" s="7" t="s">
        <v>487</v>
      </c>
      <c r="F201" s="7" t="s">
        <v>11</v>
      </c>
      <c r="G201" s="8">
        <v>45849.747650462959</v>
      </c>
      <c r="H201" s="7" t="s">
        <v>410</v>
      </c>
      <c r="I201" s="7" t="s">
        <v>789</v>
      </c>
      <c r="J201">
        <v>38</v>
      </c>
      <c r="K201" s="7" t="s">
        <v>30</v>
      </c>
      <c r="L201" s="7" t="s">
        <v>412</v>
      </c>
      <c r="M201" s="7" t="s">
        <v>413</v>
      </c>
      <c r="N201" s="7"/>
    </row>
    <row r="202" spans="1:14" hidden="1">
      <c r="A202" s="9" t="s">
        <v>223</v>
      </c>
      <c r="B202" t="str">
        <f>VLOOKUP(WH_Data[[#This Row],[Case Number]],Table2[[CaseNumber]:[Region__c]],1,FALSE)</f>
        <v>18279133</v>
      </c>
      <c r="C202" s="7" t="s">
        <v>422</v>
      </c>
      <c r="D202" s="7" t="s">
        <v>790</v>
      </c>
      <c r="E202" s="7" t="s">
        <v>739</v>
      </c>
      <c r="F202" s="7" t="s">
        <v>17</v>
      </c>
      <c r="G202" s="8">
        <v>45939.650393518517</v>
      </c>
      <c r="H202" s="7" t="s">
        <v>410</v>
      </c>
      <c r="I202" s="7" t="s">
        <v>791</v>
      </c>
      <c r="J202">
        <v>15</v>
      </c>
      <c r="K202" s="7" t="s">
        <v>30</v>
      </c>
      <c r="L202" s="7" t="s">
        <v>412</v>
      </c>
      <c r="M202" s="7" t="s">
        <v>413</v>
      </c>
      <c r="N202" s="7"/>
    </row>
    <row r="203" spans="1:14" hidden="1">
      <c r="A203" s="9" t="s">
        <v>224</v>
      </c>
      <c r="B203" t="str">
        <f>VLOOKUP(WH_Data[[#This Row],[Case Number]],Table2[[CaseNumber]:[Region__c]],1,FALSE)</f>
        <v>18289477</v>
      </c>
      <c r="C203" s="7" t="s">
        <v>414</v>
      </c>
      <c r="D203" s="7" t="s">
        <v>492</v>
      </c>
      <c r="E203" s="7" t="s">
        <v>792</v>
      </c>
      <c r="F203" s="7" t="s">
        <v>17</v>
      </c>
      <c r="G203" s="8">
        <v>45846.297708333332</v>
      </c>
      <c r="H203" s="7" t="s">
        <v>793</v>
      </c>
      <c r="I203" s="7" t="s">
        <v>794</v>
      </c>
      <c r="J203">
        <v>13</v>
      </c>
      <c r="K203" s="7" t="s">
        <v>30</v>
      </c>
      <c r="L203" s="7" t="s">
        <v>412</v>
      </c>
      <c r="M203" s="7" t="s">
        <v>413</v>
      </c>
      <c r="N203" s="7"/>
    </row>
    <row r="204" spans="1:14" hidden="1">
      <c r="A204" s="9" t="s">
        <v>225</v>
      </c>
      <c r="B204" t="str">
        <f>VLOOKUP(WH_Data[[#This Row],[Case Number]],Table2[[CaseNumber]:[Region__c]],1,FALSE)</f>
        <v>18289541</v>
      </c>
      <c r="C204" s="7" t="s">
        <v>414</v>
      </c>
      <c r="D204" s="7" t="s">
        <v>492</v>
      </c>
      <c r="E204" s="7" t="s">
        <v>795</v>
      </c>
      <c r="F204" s="7" t="s">
        <v>17</v>
      </c>
      <c r="G204" s="8">
        <v>45840.805775462963</v>
      </c>
      <c r="H204" s="7" t="s">
        <v>793</v>
      </c>
      <c r="I204" s="7" t="s">
        <v>796</v>
      </c>
      <c r="J204">
        <v>9</v>
      </c>
      <c r="K204" s="7" t="s">
        <v>30</v>
      </c>
      <c r="L204" s="7" t="s">
        <v>412</v>
      </c>
      <c r="M204" s="7" t="s">
        <v>413</v>
      </c>
      <c r="N204" s="7"/>
    </row>
    <row r="205" spans="1:14" hidden="1">
      <c r="A205" s="9" t="s">
        <v>226</v>
      </c>
      <c r="B205" t="str">
        <f>VLOOKUP(WH_Data[[#This Row],[Case Number]],Table2[[CaseNumber]:[Region__c]],1,FALSE)</f>
        <v>18296106</v>
      </c>
      <c r="C205" s="7" t="s">
        <v>407</v>
      </c>
      <c r="D205" s="7" t="s">
        <v>680</v>
      </c>
      <c r="E205" s="7" t="s">
        <v>529</v>
      </c>
      <c r="F205" s="7" t="s">
        <v>11</v>
      </c>
      <c r="G205" s="8">
        <v>45884.708460648151</v>
      </c>
      <c r="H205" s="7" t="s">
        <v>410</v>
      </c>
      <c r="I205" s="7" t="s">
        <v>797</v>
      </c>
      <c r="J205">
        <v>7</v>
      </c>
      <c r="K205" s="7" t="s">
        <v>30</v>
      </c>
      <c r="L205" s="7" t="s">
        <v>412</v>
      </c>
      <c r="M205" s="7" t="s">
        <v>413</v>
      </c>
      <c r="N205" s="7"/>
    </row>
    <row r="206" spans="1:14" hidden="1">
      <c r="A206" s="9" t="s">
        <v>227</v>
      </c>
      <c r="B206" t="str">
        <f>VLOOKUP(WH_Data[[#This Row],[Case Number]],Table2[[CaseNumber]:[Region__c]],1,FALSE)</f>
        <v>18297246</v>
      </c>
      <c r="C206" s="7" t="s">
        <v>407</v>
      </c>
      <c r="D206" s="7" t="s">
        <v>787</v>
      </c>
      <c r="E206" s="7" t="s">
        <v>773</v>
      </c>
      <c r="F206" s="7" t="s">
        <v>11</v>
      </c>
      <c r="G206" s="8">
        <v>45863.56449074074</v>
      </c>
      <c r="H206" s="7" t="s">
        <v>410</v>
      </c>
      <c r="I206" s="7" t="s">
        <v>798</v>
      </c>
      <c r="J206">
        <v>11</v>
      </c>
      <c r="K206" s="7" t="s">
        <v>30</v>
      </c>
      <c r="L206" s="7" t="s">
        <v>412</v>
      </c>
      <c r="M206" s="7" t="s">
        <v>413</v>
      </c>
      <c r="N206" s="7"/>
    </row>
    <row r="207" spans="1:14" hidden="1">
      <c r="A207" s="9" t="s">
        <v>228</v>
      </c>
      <c r="B207" t="str">
        <f>VLOOKUP(WH_Data[[#This Row],[Case Number]],Table2[[CaseNumber]:[Region__c]],1,FALSE)</f>
        <v>18298746</v>
      </c>
      <c r="C207" s="7" t="s">
        <v>414</v>
      </c>
      <c r="D207" s="7" t="s">
        <v>492</v>
      </c>
      <c r="E207" s="7" t="s">
        <v>799</v>
      </c>
      <c r="F207" s="7" t="s">
        <v>17</v>
      </c>
      <c r="G207" s="8">
        <v>45835.332071759258</v>
      </c>
      <c r="H207" s="7" t="s">
        <v>410</v>
      </c>
      <c r="I207" s="7" t="s">
        <v>793</v>
      </c>
      <c r="J207">
        <v>4</v>
      </c>
      <c r="K207" s="7" t="s">
        <v>30</v>
      </c>
      <c r="L207" s="7" t="s">
        <v>412</v>
      </c>
      <c r="M207" s="7" t="s">
        <v>413</v>
      </c>
      <c r="N207" s="7"/>
    </row>
    <row r="208" spans="1:14" hidden="1">
      <c r="A208" s="9" t="s">
        <v>229</v>
      </c>
      <c r="B208" t="str">
        <f>VLOOKUP(WH_Data[[#This Row],[Case Number]],Table2[[CaseNumber]:[Region__c]],1,FALSE)</f>
        <v>18304799</v>
      </c>
      <c r="C208" s="7" t="s">
        <v>422</v>
      </c>
      <c r="D208" s="7" t="s">
        <v>800</v>
      </c>
      <c r="E208" s="7" t="s">
        <v>546</v>
      </c>
      <c r="F208" s="7" t="s">
        <v>19</v>
      </c>
      <c r="G208" s="8">
        <v>45859.463599537034</v>
      </c>
      <c r="H208" s="7" t="s">
        <v>801</v>
      </c>
      <c r="I208" s="7" t="s">
        <v>802</v>
      </c>
      <c r="J208">
        <v>3</v>
      </c>
      <c r="K208" s="7" t="s">
        <v>30</v>
      </c>
      <c r="L208" s="7" t="s">
        <v>412</v>
      </c>
      <c r="M208" s="7" t="s">
        <v>413</v>
      </c>
      <c r="N208" s="7"/>
    </row>
    <row r="209" spans="1:14" hidden="1">
      <c r="A209" s="9" t="s">
        <v>230</v>
      </c>
      <c r="B209" t="str">
        <f>VLOOKUP(WH_Data[[#This Row],[Case Number]],Table2[[CaseNumber]:[Region__c]],1,FALSE)</f>
        <v>18304822</v>
      </c>
      <c r="C209" s="7" t="s">
        <v>422</v>
      </c>
      <c r="D209" s="7" t="s">
        <v>800</v>
      </c>
      <c r="E209" s="7" t="s">
        <v>419</v>
      </c>
      <c r="F209" s="7" t="s">
        <v>19</v>
      </c>
      <c r="G209" s="8">
        <v>45842.815069444441</v>
      </c>
      <c r="H209" s="7" t="s">
        <v>410</v>
      </c>
      <c r="I209" s="7" t="s">
        <v>803</v>
      </c>
      <c r="J209">
        <v>21</v>
      </c>
      <c r="K209" s="7" t="s">
        <v>30</v>
      </c>
      <c r="L209" s="7" t="s">
        <v>412</v>
      </c>
      <c r="M209" s="7" t="s">
        <v>413</v>
      </c>
      <c r="N209" s="7"/>
    </row>
    <row r="210" spans="1:14">
      <c r="A210" s="9" t="s">
        <v>1045</v>
      </c>
      <c r="B210" t="e">
        <f>VLOOKUP(WH_Data[[#This Row],[Case Number]],Table2[[CaseNumber]:[Region__c]],1,FALSE)</f>
        <v>#N/A</v>
      </c>
      <c r="C210" s="7" t="s">
        <v>422</v>
      </c>
      <c r="D210" s="7" t="s">
        <v>800</v>
      </c>
      <c r="E210" s="7" t="s">
        <v>440</v>
      </c>
      <c r="F210" s="7" t="s">
        <v>19</v>
      </c>
      <c r="G210" s="8">
        <v>45842.811863425923</v>
      </c>
      <c r="H210" s="7" t="s">
        <v>410</v>
      </c>
      <c r="I210" s="7" t="s">
        <v>804</v>
      </c>
      <c r="J210">
        <v>17</v>
      </c>
      <c r="K210" s="7" t="s">
        <v>30</v>
      </c>
      <c r="L210" s="7" t="s">
        <v>412</v>
      </c>
      <c r="M210" s="7" t="s">
        <v>413</v>
      </c>
      <c r="N210" s="7"/>
    </row>
    <row r="211" spans="1:14" hidden="1">
      <c r="A211" s="9" t="s">
        <v>231</v>
      </c>
      <c r="B211" t="str">
        <f>VLOOKUP(WH_Data[[#This Row],[Case Number]],Table2[[CaseNumber]:[Region__c]],1,FALSE)</f>
        <v>18304852</v>
      </c>
      <c r="C211" s="7" t="s">
        <v>422</v>
      </c>
      <c r="D211" s="7" t="s">
        <v>800</v>
      </c>
      <c r="E211" s="7" t="s">
        <v>529</v>
      </c>
      <c r="F211" s="7" t="s">
        <v>19</v>
      </c>
      <c r="G211" s="8">
        <v>45863.464004629626</v>
      </c>
      <c r="H211" s="7" t="s">
        <v>801</v>
      </c>
      <c r="I211" s="7" t="s">
        <v>805</v>
      </c>
      <c r="J211">
        <v>3</v>
      </c>
      <c r="K211" s="7" t="s">
        <v>30</v>
      </c>
      <c r="L211" s="7" t="s">
        <v>412</v>
      </c>
      <c r="M211" s="7" t="s">
        <v>413</v>
      </c>
      <c r="N211" s="7"/>
    </row>
    <row r="212" spans="1:14" hidden="1">
      <c r="A212" s="9" t="s">
        <v>232</v>
      </c>
      <c r="B212" t="str">
        <f>VLOOKUP(WH_Data[[#This Row],[Case Number]],Table2[[CaseNumber]:[Region__c]],1,FALSE)</f>
        <v>18304860</v>
      </c>
      <c r="C212" s="7" t="s">
        <v>422</v>
      </c>
      <c r="D212" s="7" t="s">
        <v>800</v>
      </c>
      <c r="E212" s="7" t="s">
        <v>651</v>
      </c>
      <c r="F212" s="7" t="s">
        <v>19</v>
      </c>
      <c r="G212" s="8">
        <v>45861.420868055553</v>
      </c>
      <c r="H212" s="7" t="s">
        <v>801</v>
      </c>
      <c r="I212" s="7" t="s">
        <v>806</v>
      </c>
      <c r="J212">
        <v>1</v>
      </c>
      <c r="K212" s="7" t="s">
        <v>30</v>
      </c>
      <c r="L212" s="7" t="s">
        <v>412</v>
      </c>
      <c r="M212" s="7" t="s">
        <v>413</v>
      </c>
      <c r="N212" s="7"/>
    </row>
    <row r="213" spans="1:14" hidden="1">
      <c r="A213" s="9" t="s">
        <v>233</v>
      </c>
      <c r="B213" t="str">
        <f>VLOOKUP(WH_Data[[#This Row],[Case Number]],Table2[[CaseNumber]:[Region__c]],1,FALSE)</f>
        <v>18304864</v>
      </c>
      <c r="C213" s="7" t="s">
        <v>422</v>
      </c>
      <c r="D213" s="7" t="s">
        <v>800</v>
      </c>
      <c r="E213" s="7" t="s">
        <v>484</v>
      </c>
      <c r="F213" s="7" t="s">
        <v>19</v>
      </c>
      <c r="G213" s="8">
        <v>45862.428472222222</v>
      </c>
      <c r="H213" s="7" t="s">
        <v>801</v>
      </c>
      <c r="I213" s="7" t="s">
        <v>807</v>
      </c>
      <c r="J213">
        <v>2</v>
      </c>
      <c r="K213" s="7" t="s">
        <v>30</v>
      </c>
      <c r="L213" s="7" t="s">
        <v>412</v>
      </c>
      <c r="M213" s="7" t="s">
        <v>413</v>
      </c>
      <c r="N213" s="7"/>
    </row>
    <row r="214" spans="1:14" hidden="1">
      <c r="A214" s="9" t="s">
        <v>234</v>
      </c>
      <c r="B214" t="str">
        <f>VLOOKUP(WH_Data[[#This Row],[Case Number]],Table2[[CaseNumber]:[Region__c]],1,FALSE)</f>
        <v>18304869</v>
      </c>
      <c r="C214" s="7" t="s">
        <v>422</v>
      </c>
      <c r="D214" s="7" t="s">
        <v>800</v>
      </c>
      <c r="E214" s="7" t="s">
        <v>450</v>
      </c>
      <c r="F214" s="7" t="s">
        <v>19</v>
      </c>
      <c r="G214" s="8">
        <v>45861.42083333333</v>
      </c>
      <c r="H214" s="7" t="s">
        <v>801</v>
      </c>
      <c r="I214" s="7" t="s">
        <v>808</v>
      </c>
      <c r="J214">
        <v>5</v>
      </c>
      <c r="K214" s="7" t="s">
        <v>30</v>
      </c>
      <c r="L214" s="7" t="s">
        <v>412</v>
      </c>
      <c r="M214" s="7" t="s">
        <v>413</v>
      </c>
      <c r="N214" s="7"/>
    </row>
    <row r="215" spans="1:14" hidden="1">
      <c r="A215" s="9" t="s">
        <v>235</v>
      </c>
      <c r="B215" t="str">
        <f>VLOOKUP(WH_Data[[#This Row],[Case Number]],Table2[[CaseNumber]:[Region__c]],1,FALSE)</f>
        <v>18304873</v>
      </c>
      <c r="C215" s="7" t="s">
        <v>422</v>
      </c>
      <c r="D215" s="7" t="s">
        <v>800</v>
      </c>
      <c r="E215" s="7" t="s">
        <v>460</v>
      </c>
      <c r="F215" s="7" t="s">
        <v>19</v>
      </c>
      <c r="G215" s="8">
        <v>45842.818136574075</v>
      </c>
      <c r="H215" s="7" t="s">
        <v>410</v>
      </c>
      <c r="I215" s="7" t="s">
        <v>809</v>
      </c>
      <c r="J215">
        <v>21</v>
      </c>
      <c r="K215" s="7" t="s">
        <v>30</v>
      </c>
      <c r="L215" s="7" t="s">
        <v>412</v>
      </c>
      <c r="M215" s="7" t="s">
        <v>413</v>
      </c>
      <c r="N215" s="7"/>
    </row>
    <row r="216" spans="1:14">
      <c r="A216" s="9" t="s">
        <v>1046</v>
      </c>
      <c r="B216" t="e">
        <f>VLOOKUP(WH_Data[[#This Row],[Case Number]],Table2[[CaseNumber]:[Region__c]],1,FALSE)</f>
        <v>#N/A</v>
      </c>
      <c r="C216" s="7" t="s">
        <v>422</v>
      </c>
      <c r="D216" s="7" t="s">
        <v>800</v>
      </c>
      <c r="E216" s="7" t="s">
        <v>433</v>
      </c>
      <c r="F216" s="7" t="s">
        <v>19</v>
      </c>
      <c r="G216" s="8">
        <v>45912.932037037041</v>
      </c>
      <c r="H216" s="7" t="s">
        <v>801</v>
      </c>
      <c r="I216" s="7" t="s">
        <v>810</v>
      </c>
      <c r="J216">
        <v>52</v>
      </c>
      <c r="K216" s="7" t="s">
        <v>30</v>
      </c>
      <c r="L216" s="7" t="s">
        <v>412</v>
      </c>
      <c r="M216" s="7" t="s">
        <v>413</v>
      </c>
      <c r="N216" s="7"/>
    </row>
    <row r="217" spans="1:14" hidden="1">
      <c r="A217" s="9" t="s">
        <v>236</v>
      </c>
      <c r="B217" t="str">
        <f>VLOOKUP(WH_Data[[#This Row],[Case Number]],Table2[[CaseNumber]:[Region__c]],1,FALSE)</f>
        <v>18310494</v>
      </c>
      <c r="C217" s="7" t="s">
        <v>407</v>
      </c>
      <c r="D217" s="7" t="s">
        <v>811</v>
      </c>
      <c r="E217" s="7" t="s">
        <v>463</v>
      </c>
      <c r="F217" s="7" t="s">
        <v>46</v>
      </c>
      <c r="G217" s="8">
        <v>45840.351550925923</v>
      </c>
      <c r="H217" s="7" t="s">
        <v>410</v>
      </c>
      <c r="I217" s="7" t="s">
        <v>812</v>
      </c>
      <c r="J217">
        <v>9</v>
      </c>
      <c r="K217" s="7" t="s">
        <v>30</v>
      </c>
      <c r="L217" s="7" t="s">
        <v>412</v>
      </c>
      <c r="M217" s="7" t="s">
        <v>413</v>
      </c>
      <c r="N217" s="7"/>
    </row>
    <row r="218" spans="1:14" hidden="1">
      <c r="A218" s="9" t="s">
        <v>237</v>
      </c>
      <c r="B218" t="str">
        <f>VLOOKUP(WH_Data[[#This Row],[Case Number]],Table2[[CaseNumber]:[Region__c]],1,FALSE)</f>
        <v>18312713</v>
      </c>
      <c r="C218" s="7" t="s">
        <v>407</v>
      </c>
      <c r="D218" s="7" t="s">
        <v>680</v>
      </c>
      <c r="E218" s="7" t="s">
        <v>676</v>
      </c>
      <c r="F218" s="7" t="s">
        <v>11</v>
      </c>
      <c r="G218" s="8">
        <v>45876.588750000003</v>
      </c>
      <c r="H218" s="7" t="s">
        <v>410</v>
      </c>
      <c r="I218" s="7" t="s">
        <v>813</v>
      </c>
      <c r="J218">
        <v>15</v>
      </c>
      <c r="K218" s="7" t="s">
        <v>30</v>
      </c>
      <c r="L218" s="7" t="s">
        <v>412</v>
      </c>
      <c r="M218" s="7" t="s">
        <v>413</v>
      </c>
      <c r="N218" s="7"/>
    </row>
    <row r="219" spans="1:14" hidden="1">
      <c r="A219" s="9" t="s">
        <v>238</v>
      </c>
      <c r="B219" t="str">
        <f>VLOOKUP(WH_Data[[#This Row],[Case Number]],Table2[[CaseNumber]:[Region__c]],1,FALSE)</f>
        <v>18313255</v>
      </c>
      <c r="C219" s="7" t="s">
        <v>407</v>
      </c>
      <c r="D219" s="7" t="s">
        <v>680</v>
      </c>
      <c r="E219" s="7" t="s">
        <v>526</v>
      </c>
      <c r="F219" s="7" t="s">
        <v>11</v>
      </c>
      <c r="G219" s="8">
        <v>45870.527928240743</v>
      </c>
      <c r="H219" s="7" t="s">
        <v>410</v>
      </c>
      <c r="I219" s="7" t="s">
        <v>814</v>
      </c>
      <c r="J219">
        <v>14</v>
      </c>
      <c r="K219" s="7" t="s">
        <v>30</v>
      </c>
      <c r="L219" s="7" t="s">
        <v>412</v>
      </c>
      <c r="M219" s="7" t="s">
        <v>413</v>
      </c>
      <c r="N219" s="7"/>
    </row>
    <row r="220" spans="1:14" hidden="1">
      <c r="A220" s="9" t="s">
        <v>239</v>
      </c>
      <c r="B220" t="str">
        <f>VLOOKUP(WH_Data[[#This Row],[Case Number]],Table2[[CaseNumber]:[Region__c]],1,FALSE)</f>
        <v>18325470</v>
      </c>
      <c r="C220" s="7" t="s">
        <v>422</v>
      </c>
      <c r="D220" s="7" t="s">
        <v>815</v>
      </c>
      <c r="E220" s="7" t="s">
        <v>739</v>
      </c>
      <c r="F220" s="7" t="s">
        <v>19</v>
      </c>
      <c r="G220" s="8">
        <v>45812.499618055554</v>
      </c>
      <c r="H220" s="7" t="s">
        <v>410</v>
      </c>
      <c r="I220" s="7" t="s">
        <v>816</v>
      </c>
      <c r="J220">
        <v>13</v>
      </c>
      <c r="K220" s="7" t="s">
        <v>30</v>
      </c>
      <c r="L220" s="7" t="s">
        <v>412</v>
      </c>
      <c r="M220" s="7" t="s">
        <v>413</v>
      </c>
      <c r="N220" s="7"/>
    </row>
    <row r="221" spans="1:14" hidden="1">
      <c r="A221" s="9" t="s">
        <v>240</v>
      </c>
      <c r="B221" t="str">
        <f>VLOOKUP(WH_Data[[#This Row],[Case Number]],Table2[[CaseNumber]:[Region__c]],1,FALSE)</f>
        <v>18328798</v>
      </c>
      <c r="C221" s="7" t="s">
        <v>422</v>
      </c>
      <c r="D221" s="7" t="s">
        <v>817</v>
      </c>
      <c r="E221" s="7" t="s">
        <v>818</v>
      </c>
      <c r="F221" s="7" t="s">
        <v>15</v>
      </c>
      <c r="G221" s="8">
        <v>45908.442453703705</v>
      </c>
      <c r="H221" s="7" t="s">
        <v>410</v>
      </c>
      <c r="I221" s="7" t="s">
        <v>819</v>
      </c>
      <c r="J221">
        <v>33</v>
      </c>
      <c r="K221" s="7" t="s">
        <v>30</v>
      </c>
      <c r="L221" s="7" t="s">
        <v>412</v>
      </c>
      <c r="M221" s="7" t="s">
        <v>413</v>
      </c>
      <c r="N221" s="7"/>
    </row>
    <row r="222" spans="1:14" hidden="1">
      <c r="A222" s="9" t="s">
        <v>241</v>
      </c>
      <c r="B222" t="str">
        <f>VLOOKUP(WH_Data[[#This Row],[Case Number]],Table2[[CaseNumber]:[Region__c]],1,FALSE)</f>
        <v>18331889</v>
      </c>
      <c r="C222" s="7" t="s">
        <v>407</v>
      </c>
      <c r="D222" s="7" t="s">
        <v>815</v>
      </c>
      <c r="E222" s="7" t="s">
        <v>433</v>
      </c>
      <c r="F222" s="7" t="s">
        <v>19</v>
      </c>
      <c r="G222" s="8">
        <v>45840.36005787037</v>
      </c>
      <c r="H222" s="7" t="s">
        <v>410</v>
      </c>
      <c r="I222" s="7" t="s">
        <v>820</v>
      </c>
      <c r="J222">
        <v>9</v>
      </c>
      <c r="K222" s="7" t="s">
        <v>30</v>
      </c>
      <c r="L222" s="7" t="s">
        <v>412</v>
      </c>
      <c r="M222" s="7" t="s">
        <v>413</v>
      </c>
      <c r="N222" s="7"/>
    </row>
    <row r="223" spans="1:14" hidden="1">
      <c r="A223" s="9" t="s">
        <v>242</v>
      </c>
      <c r="B223" t="str">
        <f>VLOOKUP(WH_Data[[#This Row],[Case Number]],Table2[[CaseNumber]:[Region__c]],1,FALSE)</f>
        <v>18354576</v>
      </c>
      <c r="C223" s="7" t="s">
        <v>414</v>
      </c>
      <c r="D223" s="7" t="s">
        <v>821</v>
      </c>
      <c r="E223" s="7" t="s">
        <v>822</v>
      </c>
      <c r="F223" s="7" t="s">
        <v>19</v>
      </c>
      <c r="G223" s="8">
        <v>45914.356759259259</v>
      </c>
      <c r="H223" s="7" t="s">
        <v>410</v>
      </c>
      <c r="I223" s="7" t="s">
        <v>823</v>
      </c>
      <c r="J223">
        <v>33</v>
      </c>
      <c r="K223" s="7" t="s">
        <v>30</v>
      </c>
      <c r="L223" s="7" t="s">
        <v>412</v>
      </c>
      <c r="M223" s="7" t="s">
        <v>413</v>
      </c>
      <c r="N223" s="7"/>
    </row>
    <row r="224" spans="1:14" hidden="1">
      <c r="A224" s="9" t="s">
        <v>243</v>
      </c>
      <c r="B224" t="str">
        <f>VLOOKUP(WH_Data[[#This Row],[Case Number]],Table2[[CaseNumber]:[Region__c]],1,FALSE)</f>
        <v>18359213</v>
      </c>
      <c r="C224" s="7" t="s">
        <v>422</v>
      </c>
      <c r="D224" s="7" t="s">
        <v>824</v>
      </c>
      <c r="E224" s="7" t="s">
        <v>825</v>
      </c>
      <c r="F224" s="7" t="s">
        <v>17</v>
      </c>
      <c r="G224" s="8">
        <v>45839.809884259259</v>
      </c>
      <c r="H224" s="7" t="s">
        <v>410</v>
      </c>
      <c r="I224" s="7" t="s">
        <v>826</v>
      </c>
      <c r="J224">
        <v>14</v>
      </c>
      <c r="K224" s="7" t="s">
        <v>30</v>
      </c>
      <c r="L224" s="7" t="s">
        <v>412</v>
      </c>
      <c r="M224" s="7" t="s">
        <v>413</v>
      </c>
      <c r="N224" s="7"/>
    </row>
    <row r="225" spans="1:14" hidden="1">
      <c r="A225" s="9" t="s">
        <v>244</v>
      </c>
      <c r="B225" t="str">
        <f>VLOOKUP(WH_Data[[#This Row],[Case Number]],Table2[[CaseNumber]:[Region__c]],1,FALSE)</f>
        <v>18360036</v>
      </c>
      <c r="C225" s="7" t="s">
        <v>407</v>
      </c>
      <c r="D225" s="7" t="s">
        <v>723</v>
      </c>
      <c r="E225" s="7" t="s">
        <v>476</v>
      </c>
      <c r="F225" s="7" t="s">
        <v>11</v>
      </c>
      <c r="G225" s="8">
        <v>45833.625474537039</v>
      </c>
      <c r="H225" s="7" t="s">
        <v>724</v>
      </c>
      <c r="I225" s="7" t="s">
        <v>827</v>
      </c>
      <c r="J225">
        <v>14</v>
      </c>
      <c r="K225" s="7" t="s">
        <v>30</v>
      </c>
      <c r="L225" s="7" t="s">
        <v>412</v>
      </c>
      <c r="M225" s="7" t="s">
        <v>413</v>
      </c>
      <c r="N225" s="7"/>
    </row>
    <row r="226" spans="1:14" hidden="1">
      <c r="A226" s="9" t="s">
        <v>245</v>
      </c>
      <c r="B226" t="str">
        <f>VLOOKUP(WH_Data[[#This Row],[Case Number]],Table2[[CaseNumber]:[Region__c]],1,FALSE)</f>
        <v>18360061</v>
      </c>
      <c r="C226" s="7" t="s">
        <v>414</v>
      </c>
      <c r="D226" s="7" t="s">
        <v>828</v>
      </c>
      <c r="E226" s="7" t="s">
        <v>419</v>
      </c>
      <c r="F226" s="7" t="s">
        <v>44</v>
      </c>
      <c r="G226" s="8">
        <v>45931.567476851851</v>
      </c>
      <c r="H226" s="7" t="s">
        <v>410</v>
      </c>
      <c r="I226" s="7" t="s">
        <v>829</v>
      </c>
      <c r="J226">
        <v>12</v>
      </c>
      <c r="K226" s="7" t="s">
        <v>30</v>
      </c>
      <c r="L226" s="7" t="s">
        <v>412</v>
      </c>
      <c r="M226" s="7" t="s">
        <v>413</v>
      </c>
      <c r="N226" s="7"/>
    </row>
    <row r="227" spans="1:14" hidden="1">
      <c r="A227" s="9" t="s">
        <v>246</v>
      </c>
      <c r="B227" t="str">
        <f>VLOOKUP(WH_Data[[#This Row],[Case Number]],Table2[[CaseNumber]:[Region__c]],1,FALSE)</f>
        <v>18365453</v>
      </c>
      <c r="C227" s="7" t="s">
        <v>414</v>
      </c>
      <c r="D227" s="7" t="s">
        <v>618</v>
      </c>
      <c r="E227" s="7" t="s">
        <v>739</v>
      </c>
      <c r="F227" s="7" t="s">
        <v>11</v>
      </c>
      <c r="G227" s="8">
        <v>45911.222361111111</v>
      </c>
      <c r="H227" s="7" t="s">
        <v>410</v>
      </c>
      <c r="I227" s="7" t="s">
        <v>830</v>
      </c>
      <c r="J227">
        <v>22</v>
      </c>
      <c r="K227" s="7" t="s">
        <v>30</v>
      </c>
      <c r="L227" s="7" t="s">
        <v>412</v>
      </c>
      <c r="M227" s="7" t="s">
        <v>413</v>
      </c>
      <c r="N227" s="7"/>
    </row>
    <row r="228" spans="1:14" hidden="1">
      <c r="A228" s="9" t="s">
        <v>247</v>
      </c>
      <c r="B228" t="str">
        <f>VLOOKUP(WH_Data[[#This Row],[Case Number]],Table2[[CaseNumber]:[Region__c]],1,FALSE)</f>
        <v>18371768</v>
      </c>
      <c r="C228" s="7" t="s">
        <v>414</v>
      </c>
      <c r="D228" s="7" t="s">
        <v>518</v>
      </c>
      <c r="E228" s="7" t="s">
        <v>509</v>
      </c>
      <c r="F228" s="7" t="s">
        <v>17</v>
      </c>
      <c r="G228" s="8">
        <v>45813.243969907409</v>
      </c>
      <c r="H228" s="7" t="s">
        <v>410</v>
      </c>
      <c r="I228" s="7" t="s">
        <v>831</v>
      </c>
      <c r="J228">
        <v>3</v>
      </c>
      <c r="K228" s="7" t="s">
        <v>30</v>
      </c>
      <c r="L228" s="7" t="s">
        <v>412</v>
      </c>
      <c r="M228" s="7" t="s">
        <v>413</v>
      </c>
      <c r="N228" s="7"/>
    </row>
    <row r="229" spans="1:14" hidden="1">
      <c r="A229" s="9" t="s">
        <v>248</v>
      </c>
      <c r="B229" t="str">
        <f>VLOOKUP(WH_Data[[#This Row],[Case Number]],Table2[[CaseNumber]:[Region__c]],1,FALSE)</f>
        <v>18373835</v>
      </c>
      <c r="C229" s="7" t="s">
        <v>422</v>
      </c>
      <c r="D229" s="7" t="s">
        <v>832</v>
      </c>
      <c r="E229" s="7" t="s">
        <v>739</v>
      </c>
      <c r="F229" s="7" t="s">
        <v>17</v>
      </c>
      <c r="G229" s="8">
        <v>45940.81082175926</v>
      </c>
      <c r="H229" s="7" t="s">
        <v>410</v>
      </c>
      <c r="I229" s="7" t="s">
        <v>833</v>
      </c>
      <c r="J229">
        <v>14</v>
      </c>
      <c r="K229" s="7" t="s">
        <v>30</v>
      </c>
      <c r="L229" s="7" t="s">
        <v>412</v>
      </c>
      <c r="M229" s="7" t="s">
        <v>413</v>
      </c>
      <c r="N229" s="7"/>
    </row>
    <row r="230" spans="1:14">
      <c r="A230" s="9" t="s">
        <v>1047</v>
      </c>
      <c r="B230" t="e">
        <f>VLOOKUP(WH_Data[[#This Row],[Case Number]],Table2[[CaseNumber]:[Region__c]],1,FALSE)</f>
        <v>#N/A</v>
      </c>
      <c r="C230" s="7" t="s">
        <v>414</v>
      </c>
      <c r="D230" s="7" t="s">
        <v>492</v>
      </c>
      <c r="E230" s="7" t="s">
        <v>834</v>
      </c>
      <c r="F230" s="7" t="s">
        <v>17</v>
      </c>
      <c r="G230" s="8">
        <v>45861.611539351848</v>
      </c>
      <c r="H230" s="7" t="s">
        <v>793</v>
      </c>
      <c r="I230" s="7" t="s">
        <v>835</v>
      </c>
      <c r="J230">
        <v>20</v>
      </c>
      <c r="K230" s="7" t="s">
        <v>30</v>
      </c>
      <c r="L230" s="7" t="s">
        <v>412</v>
      </c>
      <c r="M230" s="7" t="s">
        <v>413</v>
      </c>
      <c r="N230" s="7"/>
    </row>
    <row r="231" spans="1:14" hidden="1">
      <c r="A231" s="9" t="s">
        <v>249</v>
      </c>
      <c r="B231" t="str">
        <f>VLOOKUP(WH_Data[[#This Row],[Case Number]],Table2[[CaseNumber]:[Region__c]],1,FALSE)</f>
        <v>18376553</v>
      </c>
      <c r="C231" s="7" t="s">
        <v>407</v>
      </c>
      <c r="D231" s="7" t="s">
        <v>836</v>
      </c>
      <c r="E231" s="7" t="s">
        <v>599</v>
      </c>
      <c r="F231" s="7" t="s">
        <v>19</v>
      </c>
      <c r="G231" s="8">
        <v>45819.517430555556</v>
      </c>
      <c r="H231" s="7" t="s">
        <v>410</v>
      </c>
      <c r="I231" s="7" t="s">
        <v>837</v>
      </c>
      <c r="J231">
        <v>12</v>
      </c>
      <c r="K231" s="7" t="s">
        <v>30</v>
      </c>
      <c r="L231" s="7" t="s">
        <v>412</v>
      </c>
      <c r="M231" s="7" t="s">
        <v>413</v>
      </c>
      <c r="N231" s="7"/>
    </row>
    <row r="232" spans="1:14" hidden="1">
      <c r="A232" s="9" t="s">
        <v>250</v>
      </c>
      <c r="B232" t="str">
        <f>VLOOKUP(WH_Data[[#This Row],[Case Number]],Table2[[CaseNumber]:[Region__c]],1,FALSE)</f>
        <v>18376719</v>
      </c>
      <c r="C232" s="7" t="s">
        <v>407</v>
      </c>
      <c r="D232" s="7" t="s">
        <v>836</v>
      </c>
      <c r="E232" s="7" t="s">
        <v>460</v>
      </c>
      <c r="F232" s="7" t="s">
        <v>19</v>
      </c>
      <c r="G232" s="8">
        <v>45813.572534722225</v>
      </c>
      <c r="H232" s="7" t="s">
        <v>410</v>
      </c>
      <c r="I232" s="7" t="s">
        <v>838</v>
      </c>
      <c r="J232">
        <v>3</v>
      </c>
      <c r="K232" s="7" t="s">
        <v>30</v>
      </c>
      <c r="L232" s="7" t="s">
        <v>412</v>
      </c>
      <c r="M232" s="7" t="s">
        <v>413</v>
      </c>
      <c r="N232" s="7"/>
    </row>
    <row r="233" spans="1:14" hidden="1">
      <c r="A233" s="9" t="s">
        <v>251</v>
      </c>
      <c r="B233" t="str">
        <f>VLOOKUP(WH_Data[[#This Row],[Case Number]],Table2[[CaseNumber]:[Region__c]],1,FALSE)</f>
        <v>18377536</v>
      </c>
      <c r="C233" s="7" t="s">
        <v>422</v>
      </c>
      <c r="D233" s="7" t="s">
        <v>839</v>
      </c>
      <c r="E233" s="7" t="s">
        <v>474</v>
      </c>
      <c r="F233" s="7" t="s">
        <v>11</v>
      </c>
      <c r="G233" s="8">
        <v>45831.864062499997</v>
      </c>
      <c r="H233" s="7" t="s">
        <v>410</v>
      </c>
      <c r="I233" s="7" t="s">
        <v>840</v>
      </c>
      <c r="J233">
        <v>6</v>
      </c>
      <c r="K233" s="7" t="s">
        <v>30</v>
      </c>
      <c r="L233" s="7" t="s">
        <v>412</v>
      </c>
      <c r="M233" s="7" t="s">
        <v>413</v>
      </c>
      <c r="N233" s="7"/>
    </row>
    <row r="234" spans="1:14" hidden="1">
      <c r="A234" s="9" t="s">
        <v>252</v>
      </c>
      <c r="B234" t="str">
        <f>VLOOKUP(WH_Data[[#This Row],[Case Number]],Table2[[CaseNumber]:[Region__c]],1,FALSE)</f>
        <v>18380496</v>
      </c>
      <c r="C234" s="7" t="s">
        <v>407</v>
      </c>
      <c r="D234" s="7" t="s">
        <v>836</v>
      </c>
      <c r="E234" s="7" t="s">
        <v>450</v>
      </c>
      <c r="F234" s="7" t="s">
        <v>19</v>
      </c>
      <c r="G234" s="8">
        <v>45819.517569444448</v>
      </c>
      <c r="H234" s="7" t="s">
        <v>410</v>
      </c>
      <c r="I234" s="7" t="s">
        <v>841</v>
      </c>
      <c r="J234">
        <v>13</v>
      </c>
      <c r="K234" s="7" t="s">
        <v>30</v>
      </c>
      <c r="L234" s="7" t="s">
        <v>412</v>
      </c>
      <c r="M234" s="7" t="s">
        <v>413</v>
      </c>
      <c r="N234" s="7"/>
    </row>
    <row r="235" spans="1:14" hidden="1">
      <c r="A235" s="9" t="s">
        <v>253</v>
      </c>
      <c r="B235" t="str">
        <f>VLOOKUP(WH_Data[[#This Row],[Case Number]],Table2[[CaseNumber]:[Region__c]],1,FALSE)</f>
        <v>18385037</v>
      </c>
      <c r="C235" s="7" t="s">
        <v>414</v>
      </c>
      <c r="D235" s="7" t="s">
        <v>842</v>
      </c>
      <c r="E235" s="7" t="s">
        <v>753</v>
      </c>
      <c r="F235" s="7" t="s">
        <v>11</v>
      </c>
      <c r="G235" s="8">
        <v>45831.231273148151</v>
      </c>
      <c r="H235" s="7" t="s">
        <v>410</v>
      </c>
      <c r="I235" s="7" t="s">
        <v>843</v>
      </c>
      <c r="J235">
        <v>14</v>
      </c>
      <c r="K235" s="7" t="s">
        <v>30</v>
      </c>
      <c r="L235" s="7" t="s">
        <v>412</v>
      </c>
      <c r="M235" s="7" t="s">
        <v>413</v>
      </c>
      <c r="N235" s="7"/>
    </row>
    <row r="236" spans="1:14" hidden="1">
      <c r="A236" s="9" t="s">
        <v>254</v>
      </c>
      <c r="B236" t="str">
        <f>VLOOKUP(WH_Data[[#This Row],[Case Number]],Table2[[CaseNumber]:[Region__c]],1,FALSE)</f>
        <v>18393296</v>
      </c>
      <c r="C236" s="7" t="s">
        <v>414</v>
      </c>
      <c r="D236" s="7" t="s">
        <v>824</v>
      </c>
      <c r="E236" s="7" t="s">
        <v>409</v>
      </c>
      <c r="F236" s="7" t="s">
        <v>17</v>
      </c>
      <c r="G236" s="8">
        <v>45862.360868055555</v>
      </c>
      <c r="H236" s="7" t="s">
        <v>410</v>
      </c>
      <c r="I236" s="7" t="s">
        <v>844</v>
      </c>
      <c r="J236">
        <v>3</v>
      </c>
      <c r="K236" s="7" t="s">
        <v>30</v>
      </c>
      <c r="L236" s="7" t="s">
        <v>412</v>
      </c>
      <c r="M236" s="7" t="s">
        <v>413</v>
      </c>
      <c r="N236" s="7"/>
    </row>
    <row r="237" spans="1:14" hidden="1">
      <c r="A237" s="9" t="s">
        <v>255</v>
      </c>
      <c r="B237" t="str">
        <f>VLOOKUP(WH_Data[[#This Row],[Case Number]],Table2[[CaseNumber]:[Region__c]],1,FALSE)</f>
        <v>18395038</v>
      </c>
      <c r="C237" s="7" t="s">
        <v>407</v>
      </c>
      <c r="D237" s="7" t="s">
        <v>845</v>
      </c>
      <c r="E237" s="7" t="s">
        <v>537</v>
      </c>
      <c r="F237" s="7" t="s">
        <v>11</v>
      </c>
      <c r="G237" s="8">
        <v>45916.416770833333</v>
      </c>
      <c r="H237" s="7" t="s">
        <v>410</v>
      </c>
      <c r="I237" s="7" t="s">
        <v>846</v>
      </c>
      <c r="J237">
        <v>5</v>
      </c>
      <c r="K237" s="7" t="s">
        <v>30</v>
      </c>
      <c r="L237" s="7" t="s">
        <v>412</v>
      </c>
      <c r="M237" s="7" t="s">
        <v>413</v>
      </c>
      <c r="N237" s="7"/>
    </row>
    <row r="238" spans="1:14" hidden="1">
      <c r="A238" s="9" t="s">
        <v>256</v>
      </c>
      <c r="B238" t="str">
        <f>VLOOKUP(WH_Data[[#This Row],[Case Number]],Table2[[CaseNumber]:[Region__c]],1,FALSE)</f>
        <v>18396906</v>
      </c>
      <c r="C238" s="7" t="s">
        <v>414</v>
      </c>
      <c r="D238" s="7" t="s">
        <v>492</v>
      </c>
      <c r="E238" s="7" t="s">
        <v>847</v>
      </c>
      <c r="F238" s="7" t="s">
        <v>17</v>
      </c>
      <c r="G238" s="8">
        <v>45835.331921296296</v>
      </c>
      <c r="H238" s="7" t="s">
        <v>793</v>
      </c>
      <c r="I238" s="7" t="s">
        <v>848</v>
      </c>
      <c r="J238">
        <v>4</v>
      </c>
      <c r="K238" s="7" t="s">
        <v>30</v>
      </c>
      <c r="L238" s="7" t="s">
        <v>412</v>
      </c>
      <c r="M238" s="7" t="s">
        <v>413</v>
      </c>
      <c r="N238" s="7"/>
    </row>
    <row r="239" spans="1:14" hidden="1">
      <c r="A239" s="9" t="s">
        <v>257</v>
      </c>
      <c r="B239" t="str">
        <f>VLOOKUP(WH_Data[[#This Row],[Case Number]],Table2[[CaseNumber]:[Region__c]],1,FALSE)</f>
        <v>18396917</v>
      </c>
      <c r="C239" s="7" t="s">
        <v>414</v>
      </c>
      <c r="D239" s="7" t="s">
        <v>492</v>
      </c>
      <c r="E239" s="7" t="s">
        <v>849</v>
      </c>
      <c r="F239" s="7" t="s">
        <v>17</v>
      </c>
      <c r="G239" s="8">
        <v>45842.369351851848</v>
      </c>
      <c r="H239" s="7" t="s">
        <v>793</v>
      </c>
      <c r="I239" s="7" t="s">
        <v>850</v>
      </c>
      <c r="J239">
        <v>9</v>
      </c>
      <c r="K239" s="7" t="s">
        <v>30</v>
      </c>
      <c r="L239" s="7" t="s">
        <v>412</v>
      </c>
      <c r="M239" s="7" t="s">
        <v>413</v>
      </c>
      <c r="N239" s="7"/>
    </row>
    <row r="240" spans="1:14" hidden="1">
      <c r="A240" s="9" t="s">
        <v>258</v>
      </c>
      <c r="B240" t="str">
        <f>VLOOKUP(WH_Data[[#This Row],[Case Number]],Table2[[CaseNumber]:[Region__c]],1,FALSE)</f>
        <v>18396925</v>
      </c>
      <c r="C240" s="7" t="s">
        <v>414</v>
      </c>
      <c r="D240" s="7" t="s">
        <v>492</v>
      </c>
      <c r="E240" s="7" t="s">
        <v>851</v>
      </c>
      <c r="F240" s="7" t="s">
        <v>17</v>
      </c>
      <c r="G240" s="8">
        <v>45846.291388888887</v>
      </c>
      <c r="H240" s="7" t="s">
        <v>793</v>
      </c>
      <c r="I240" s="7" t="s">
        <v>852</v>
      </c>
      <c r="J240">
        <v>13</v>
      </c>
      <c r="K240" s="7" t="s">
        <v>30</v>
      </c>
      <c r="L240" s="7" t="s">
        <v>412</v>
      </c>
      <c r="M240" s="7" t="s">
        <v>413</v>
      </c>
      <c r="N240" s="7"/>
    </row>
    <row r="241" spans="1:14" hidden="1">
      <c r="A241" s="9" t="s">
        <v>259</v>
      </c>
      <c r="B241" t="str">
        <f>VLOOKUP(WH_Data[[#This Row],[Case Number]],Table2[[CaseNumber]:[Region__c]],1,FALSE)</f>
        <v>18401814</v>
      </c>
      <c r="C241" s="7" t="s">
        <v>407</v>
      </c>
      <c r="D241" s="7" t="s">
        <v>853</v>
      </c>
      <c r="E241" s="7" t="s">
        <v>573</v>
      </c>
      <c r="F241" s="7" t="s">
        <v>19</v>
      </c>
      <c r="G241" s="8">
        <v>45877.609699074077</v>
      </c>
      <c r="H241" s="7" t="s">
        <v>410</v>
      </c>
      <c r="I241" s="7" t="s">
        <v>854</v>
      </c>
      <c r="J241">
        <v>36</v>
      </c>
      <c r="K241" s="7" t="s">
        <v>30</v>
      </c>
      <c r="L241" s="7" t="s">
        <v>412</v>
      </c>
      <c r="M241" s="7" t="s">
        <v>413</v>
      </c>
      <c r="N241" s="7"/>
    </row>
    <row r="242" spans="1:14" hidden="1">
      <c r="A242" s="9" t="s">
        <v>260</v>
      </c>
      <c r="B242" t="str">
        <f>VLOOKUP(WH_Data[[#This Row],[Case Number]],Table2[[CaseNumber]:[Region__c]],1,FALSE)</f>
        <v>18402402</v>
      </c>
      <c r="C242" s="7" t="s">
        <v>407</v>
      </c>
      <c r="D242" s="7" t="s">
        <v>845</v>
      </c>
      <c r="E242" s="7" t="s">
        <v>855</v>
      </c>
      <c r="F242" s="7" t="s">
        <v>11</v>
      </c>
      <c r="G242" s="8">
        <v>45924.646574074075</v>
      </c>
      <c r="H242" s="7" t="s">
        <v>846</v>
      </c>
      <c r="I242" s="7" t="s">
        <v>856</v>
      </c>
      <c r="J242">
        <v>27</v>
      </c>
      <c r="K242" s="7" t="s">
        <v>30</v>
      </c>
      <c r="L242" s="7" t="s">
        <v>412</v>
      </c>
      <c r="M242" s="7" t="s">
        <v>413</v>
      </c>
      <c r="N242" s="7"/>
    </row>
    <row r="243" spans="1:14" hidden="1">
      <c r="A243" s="9" t="s">
        <v>261</v>
      </c>
      <c r="B243" t="str">
        <f>VLOOKUP(WH_Data[[#This Row],[Case Number]],Table2[[CaseNumber]:[Region__c]],1,FALSE)</f>
        <v>18402772</v>
      </c>
      <c r="C243" s="7" t="s">
        <v>407</v>
      </c>
      <c r="D243" s="7" t="s">
        <v>598</v>
      </c>
      <c r="E243" s="7" t="s">
        <v>857</v>
      </c>
      <c r="F243" s="7" t="s">
        <v>11</v>
      </c>
      <c r="G243" s="8">
        <v>45849.747418981482</v>
      </c>
      <c r="H243" s="7" t="s">
        <v>410</v>
      </c>
      <c r="I243" s="7" t="s">
        <v>858</v>
      </c>
      <c r="J243">
        <v>7</v>
      </c>
      <c r="K243" s="7" t="s">
        <v>30</v>
      </c>
      <c r="L243" s="7" t="s">
        <v>412</v>
      </c>
      <c r="M243" s="7" t="s">
        <v>413</v>
      </c>
      <c r="N243" s="7"/>
    </row>
    <row r="244" spans="1:14" hidden="1">
      <c r="A244" s="9" t="s">
        <v>262</v>
      </c>
      <c r="B244" t="str">
        <f>VLOOKUP(WH_Data[[#This Row],[Case Number]],Table2[[CaseNumber]:[Region__c]],1,FALSE)</f>
        <v>18403028</v>
      </c>
      <c r="C244" s="7" t="s">
        <v>407</v>
      </c>
      <c r="D244" s="7" t="s">
        <v>859</v>
      </c>
      <c r="E244" s="7" t="s">
        <v>419</v>
      </c>
      <c r="F244" s="7" t="s">
        <v>15</v>
      </c>
      <c r="G244" s="8">
        <v>45945.401296296295</v>
      </c>
      <c r="H244" s="7" t="s">
        <v>410</v>
      </c>
      <c r="I244" s="7" t="s">
        <v>860</v>
      </c>
      <c r="J244">
        <v>13</v>
      </c>
      <c r="K244" s="7" t="s">
        <v>30</v>
      </c>
      <c r="L244" s="7" t="s">
        <v>412</v>
      </c>
      <c r="M244" s="7" t="s">
        <v>413</v>
      </c>
      <c r="N244" s="7"/>
    </row>
    <row r="245" spans="1:14" hidden="1">
      <c r="A245" s="9" t="s">
        <v>263</v>
      </c>
      <c r="B245" t="str">
        <f>VLOOKUP(WH_Data[[#This Row],[Case Number]],Table2[[CaseNumber]:[Region__c]],1,FALSE)</f>
        <v>18405837</v>
      </c>
      <c r="C245" s="7" t="s">
        <v>422</v>
      </c>
      <c r="D245" s="7" t="s">
        <v>861</v>
      </c>
      <c r="E245" s="7" t="s">
        <v>678</v>
      </c>
      <c r="F245" s="7" t="s">
        <v>11</v>
      </c>
      <c r="G245" s="8">
        <v>45912.941805555558</v>
      </c>
      <c r="H245" s="7" t="s">
        <v>410</v>
      </c>
      <c r="I245" s="7" t="s">
        <v>862</v>
      </c>
      <c r="J245">
        <v>67</v>
      </c>
      <c r="K245" s="7" t="s">
        <v>30</v>
      </c>
      <c r="L245" s="7" t="s">
        <v>412</v>
      </c>
      <c r="M245" s="7" t="s">
        <v>413</v>
      </c>
      <c r="N245" s="7"/>
    </row>
    <row r="246" spans="1:14" hidden="1">
      <c r="A246" s="9" t="s">
        <v>264</v>
      </c>
      <c r="B246" t="str">
        <f>VLOOKUP(WH_Data[[#This Row],[Case Number]],Table2[[CaseNumber]:[Region__c]],1,FALSE)</f>
        <v>18405852</v>
      </c>
      <c r="C246" s="7" t="s">
        <v>422</v>
      </c>
      <c r="D246" s="7" t="s">
        <v>861</v>
      </c>
      <c r="E246" s="7" t="s">
        <v>509</v>
      </c>
      <c r="F246" s="7" t="s">
        <v>11</v>
      </c>
      <c r="G246" s="8">
        <v>45860.726631944446</v>
      </c>
      <c r="H246" s="7" t="s">
        <v>410</v>
      </c>
      <c r="I246" s="7" t="s">
        <v>863</v>
      </c>
      <c r="J246">
        <v>11</v>
      </c>
      <c r="K246" s="7" t="s">
        <v>30</v>
      </c>
      <c r="L246" s="7" t="s">
        <v>412</v>
      </c>
      <c r="M246" s="7" t="s">
        <v>413</v>
      </c>
      <c r="N246" s="7"/>
    </row>
    <row r="247" spans="1:14" hidden="1">
      <c r="A247" s="9" t="s">
        <v>265</v>
      </c>
      <c r="B247" t="str">
        <f>VLOOKUP(WH_Data[[#This Row],[Case Number]],Table2[[CaseNumber]:[Region__c]],1,FALSE)</f>
        <v>18408759</v>
      </c>
      <c r="C247" s="7" t="s">
        <v>407</v>
      </c>
      <c r="D247" s="7" t="s">
        <v>845</v>
      </c>
      <c r="E247" s="7" t="s">
        <v>864</v>
      </c>
      <c r="F247" s="7" t="s">
        <v>11</v>
      </c>
      <c r="G247" s="8">
        <v>45912.677418981482</v>
      </c>
      <c r="H247" s="7" t="s">
        <v>846</v>
      </c>
      <c r="I247" s="7" t="s">
        <v>865</v>
      </c>
      <c r="J247">
        <v>14</v>
      </c>
      <c r="K247" s="7" t="s">
        <v>30</v>
      </c>
      <c r="L247" s="7" t="s">
        <v>412</v>
      </c>
      <c r="M247" s="7" t="s">
        <v>413</v>
      </c>
      <c r="N247" s="7"/>
    </row>
    <row r="248" spans="1:14" hidden="1">
      <c r="A248" s="9" t="s">
        <v>266</v>
      </c>
      <c r="B248" t="str">
        <f>VLOOKUP(WH_Data[[#This Row],[Case Number]],Table2[[CaseNumber]:[Region__c]],1,FALSE)</f>
        <v>18412538</v>
      </c>
      <c r="C248" s="7" t="s">
        <v>414</v>
      </c>
      <c r="D248" s="7" t="s">
        <v>492</v>
      </c>
      <c r="E248" s="7" t="s">
        <v>866</v>
      </c>
      <c r="F248" s="7" t="s">
        <v>17</v>
      </c>
      <c r="G248" s="8">
        <v>45835.331712962965</v>
      </c>
      <c r="H248" s="7" t="s">
        <v>793</v>
      </c>
      <c r="I248" s="7" t="s">
        <v>867</v>
      </c>
      <c r="J248">
        <v>4</v>
      </c>
      <c r="K248" s="7" t="s">
        <v>30</v>
      </c>
      <c r="L248" s="7" t="s">
        <v>412</v>
      </c>
      <c r="M248" s="7" t="s">
        <v>413</v>
      </c>
      <c r="N248" s="7"/>
    </row>
    <row r="249" spans="1:14" hidden="1">
      <c r="A249" s="9" t="s">
        <v>267</v>
      </c>
      <c r="B249" t="str">
        <f>VLOOKUP(WH_Data[[#This Row],[Case Number]],Table2[[CaseNumber]:[Region__c]],1,FALSE)</f>
        <v>18412616</v>
      </c>
      <c r="C249" s="7" t="s">
        <v>414</v>
      </c>
      <c r="D249" s="7" t="s">
        <v>492</v>
      </c>
      <c r="E249" s="7" t="s">
        <v>868</v>
      </c>
      <c r="F249" s="7" t="s">
        <v>17</v>
      </c>
      <c r="G249" s="8">
        <v>45838.571006944447</v>
      </c>
      <c r="H249" s="7" t="s">
        <v>793</v>
      </c>
      <c r="I249" s="7" t="s">
        <v>869</v>
      </c>
      <c r="J249">
        <v>7</v>
      </c>
      <c r="K249" s="7" t="s">
        <v>30</v>
      </c>
      <c r="L249" s="7" t="s">
        <v>412</v>
      </c>
      <c r="M249" s="7" t="s">
        <v>413</v>
      </c>
      <c r="N249" s="7"/>
    </row>
    <row r="250" spans="1:14" hidden="1">
      <c r="A250" s="9" t="s">
        <v>268</v>
      </c>
      <c r="B250" t="str">
        <f>VLOOKUP(WH_Data[[#This Row],[Case Number]],Table2[[CaseNumber]:[Region__c]],1,FALSE)</f>
        <v>18412623</v>
      </c>
      <c r="C250" s="7" t="s">
        <v>414</v>
      </c>
      <c r="D250" s="7" t="s">
        <v>492</v>
      </c>
      <c r="E250" s="7" t="s">
        <v>870</v>
      </c>
      <c r="F250" s="7" t="s">
        <v>17</v>
      </c>
      <c r="G250" s="8">
        <v>45846.278935185182</v>
      </c>
      <c r="H250" s="7" t="s">
        <v>793</v>
      </c>
      <c r="I250" s="7" t="s">
        <v>871</v>
      </c>
      <c r="J250">
        <v>13</v>
      </c>
      <c r="K250" s="7" t="s">
        <v>30</v>
      </c>
      <c r="L250" s="7" t="s">
        <v>412</v>
      </c>
      <c r="M250" s="7" t="s">
        <v>413</v>
      </c>
      <c r="N250" s="7"/>
    </row>
    <row r="251" spans="1:14" hidden="1">
      <c r="A251" s="9" t="s">
        <v>269</v>
      </c>
      <c r="B251" t="str">
        <f>VLOOKUP(WH_Data[[#This Row],[Case Number]],Table2[[CaseNumber]:[Region__c]],1,FALSE)</f>
        <v>18417487</v>
      </c>
      <c r="C251" s="7" t="s">
        <v>407</v>
      </c>
      <c r="D251" s="7" t="s">
        <v>845</v>
      </c>
      <c r="E251" s="7" t="s">
        <v>872</v>
      </c>
      <c r="F251" s="7" t="s">
        <v>11</v>
      </c>
      <c r="G251" s="8">
        <v>45931.288761574076</v>
      </c>
      <c r="H251" s="7" t="s">
        <v>846</v>
      </c>
      <c r="I251" s="7" t="s">
        <v>873</v>
      </c>
      <c r="J251">
        <v>28</v>
      </c>
      <c r="K251" s="7" t="s">
        <v>30</v>
      </c>
      <c r="L251" s="7" t="s">
        <v>412</v>
      </c>
      <c r="M251" s="7" t="s">
        <v>413</v>
      </c>
      <c r="N251" s="7"/>
    </row>
    <row r="252" spans="1:14" hidden="1">
      <c r="A252" s="9" t="s">
        <v>270</v>
      </c>
      <c r="B252" t="str">
        <f>VLOOKUP(WH_Data[[#This Row],[Case Number]],Table2[[CaseNumber]:[Region__c]],1,FALSE)</f>
        <v>18419870</v>
      </c>
      <c r="C252" s="7" t="s">
        <v>422</v>
      </c>
      <c r="D252" s="7" t="s">
        <v>874</v>
      </c>
      <c r="E252" s="7" t="s">
        <v>537</v>
      </c>
      <c r="F252" s="7" t="s">
        <v>11</v>
      </c>
      <c r="G252" s="8">
        <v>45887.811215277776</v>
      </c>
      <c r="H252" s="7" t="s">
        <v>410</v>
      </c>
      <c r="I252" s="7" t="s">
        <v>875</v>
      </c>
      <c r="J252">
        <v>10</v>
      </c>
      <c r="K252" s="7" t="s">
        <v>30</v>
      </c>
      <c r="L252" s="7" t="s">
        <v>412</v>
      </c>
      <c r="M252" s="7" t="s">
        <v>413</v>
      </c>
      <c r="N252" s="7"/>
    </row>
    <row r="253" spans="1:14" hidden="1">
      <c r="A253" s="9" t="s">
        <v>271</v>
      </c>
      <c r="B253" t="str">
        <f>VLOOKUP(WH_Data[[#This Row],[Case Number]],Table2[[CaseNumber]:[Region__c]],1,FALSE)</f>
        <v>18420239</v>
      </c>
      <c r="C253" s="7" t="s">
        <v>414</v>
      </c>
      <c r="D253" s="7" t="s">
        <v>492</v>
      </c>
      <c r="E253" s="7" t="s">
        <v>876</v>
      </c>
      <c r="F253" s="7" t="s">
        <v>17</v>
      </c>
      <c r="G253" s="8">
        <v>45842.368483796294</v>
      </c>
      <c r="H253" s="7" t="s">
        <v>793</v>
      </c>
      <c r="I253" s="7" t="s">
        <v>877</v>
      </c>
      <c r="J253">
        <v>11</v>
      </c>
      <c r="K253" s="7" t="s">
        <v>30</v>
      </c>
      <c r="L253" s="7" t="s">
        <v>412</v>
      </c>
      <c r="M253" s="7" t="s">
        <v>413</v>
      </c>
      <c r="N253" s="7"/>
    </row>
    <row r="254" spans="1:14" hidden="1">
      <c r="A254" s="9" t="s">
        <v>272</v>
      </c>
      <c r="B254" t="str">
        <f>VLOOKUP(WH_Data[[#This Row],[Case Number]],Table2[[CaseNumber]:[Region__c]],1,FALSE)</f>
        <v>18420436</v>
      </c>
      <c r="C254" s="7" t="s">
        <v>422</v>
      </c>
      <c r="D254" s="7" t="s">
        <v>878</v>
      </c>
      <c r="E254" s="7" t="s">
        <v>440</v>
      </c>
      <c r="F254" s="7" t="s">
        <v>11</v>
      </c>
      <c r="G254" s="8">
        <v>45876.373310185183</v>
      </c>
      <c r="H254" s="7" t="s">
        <v>410</v>
      </c>
      <c r="I254" s="7" t="s">
        <v>879</v>
      </c>
      <c r="J254">
        <v>13</v>
      </c>
      <c r="K254" s="7" t="s">
        <v>30</v>
      </c>
      <c r="L254" s="7" t="s">
        <v>412</v>
      </c>
      <c r="M254" s="7" t="s">
        <v>413</v>
      </c>
      <c r="N254" s="7"/>
    </row>
    <row r="255" spans="1:14" hidden="1">
      <c r="A255" s="9" t="s">
        <v>273</v>
      </c>
      <c r="B255" t="str">
        <f>VLOOKUP(WH_Data[[#This Row],[Case Number]],Table2[[CaseNumber]:[Region__c]],1,FALSE)</f>
        <v>18423204</v>
      </c>
      <c r="C255" s="7" t="s">
        <v>414</v>
      </c>
      <c r="D255" s="7" t="s">
        <v>762</v>
      </c>
      <c r="E255" s="7" t="s">
        <v>621</v>
      </c>
      <c r="F255" s="7" t="s">
        <v>11</v>
      </c>
      <c r="G255" s="8">
        <v>45828.233576388891</v>
      </c>
      <c r="H255" s="7" t="s">
        <v>410</v>
      </c>
      <c r="I255" s="7" t="s">
        <v>880</v>
      </c>
      <c r="J255">
        <v>14</v>
      </c>
      <c r="K255" s="7" t="s">
        <v>30</v>
      </c>
      <c r="L255" s="7" t="s">
        <v>412</v>
      </c>
      <c r="M255" s="7" t="s">
        <v>413</v>
      </c>
      <c r="N255" s="7"/>
    </row>
    <row r="256" spans="1:14" hidden="1">
      <c r="A256" s="9" t="s">
        <v>274</v>
      </c>
      <c r="B256" t="str">
        <f>VLOOKUP(WH_Data[[#This Row],[Case Number]],Table2[[CaseNumber]:[Region__c]],1,FALSE)</f>
        <v>18425533</v>
      </c>
      <c r="C256" s="7" t="s">
        <v>407</v>
      </c>
      <c r="D256" s="7" t="s">
        <v>845</v>
      </c>
      <c r="E256" s="7" t="s">
        <v>409</v>
      </c>
      <c r="F256" s="7" t="s">
        <v>11</v>
      </c>
      <c r="G256" s="8">
        <v>45912.677939814814</v>
      </c>
      <c r="H256" s="7" t="s">
        <v>846</v>
      </c>
      <c r="I256" s="7" t="s">
        <v>881</v>
      </c>
      <c r="J256">
        <v>14</v>
      </c>
      <c r="K256" s="7" t="s">
        <v>30</v>
      </c>
      <c r="L256" s="7" t="s">
        <v>412</v>
      </c>
      <c r="M256" s="7" t="s">
        <v>413</v>
      </c>
      <c r="N256" s="7"/>
    </row>
    <row r="257" spans="1:14" hidden="1">
      <c r="A257" s="9" t="s">
        <v>275</v>
      </c>
      <c r="B257" t="str">
        <f>VLOOKUP(WH_Data[[#This Row],[Case Number]],Table2[[CaseNumber]:[Region__c]],1,FALSE)</f>
        <v>18427742</v>
      </c>
      <c r="C257" s="7" t="s">
        <v>407</v>
      </c>
      <c r="D257" s="7" t="s">
        <v>882</v>
      </c>
      <c r="E257" s="7" t="s">
        <v>739</v>
      </c>
      <c r="F257" s="7" t="s">
        <v>19</v>
      </c>
      <c r="G257" s="8">
        <v>45856.637719907405</v>
      </c>
      <c r="H257" s="7" t="s">
        <v>410</v>
      </c>
      <c r="I257" s="7" t="s">
        <v>883</v>
      </c>
      <c r="J257">
        <v>14</v>
      </c>
      <c r="K257" s="7" t="s">
        <v>30</v>
      </c>
      <c r="L257" s="7" t="s">
        <v>412</v>
      </c>
      <c r="M257" s="7" t="s">
        <v>413</v>
      </c>
      <c r="N257" s="7"/>
    </row>
    <row r="258" spans="1:14" hidden="1">
      <c r="A258" s="9" t="s">
        <v>276</v>
      </c>
      <c r="B258" t="str">
        <f>VLOOKUP(WH_Data[[#This Row],[Case Number]],Table2[[CaseNumber]:[Region__c]],1,FALSE)</f>
        <v>18430000</v>
      </c>
      <c r="C258" s="7" t="s">
        <v>422</v>
      </c>
      <c r="D258" s="7" t="s">
        <v>874</v>
      </c>
      <c r="E258" s="7" t="s">
        <v>498</v>
      </c>
      <c r="F258" s="7" t="s">
        <v>11</v>
      </c>
      <c r="G258" s="8">
        <v>45958.882071759261</v>
      </c>
      <c r="H258" s="7" t="s">
        <v>410</v>
      </c>
      <c r="I258" s="7" t="s">
        <v>884</v>
      </c>
      <c r="J258">
        <v>11</v>
      </c>
      <c r="K258" s="7" t="s">
        <v>30</v>
      </c>
      <c r="L258" s="7" t="s">
        <v>412</v>
      </c>
      <c r="M258" s="7" t="s">
        <v>413</v>
      </c>
      <c r="N258" s="7"/>
    </row>
    <row r="259" spans="1:14" hidden="1">
      <c r="A259" s="9" t="s">
        <v>277</v>
      </c>
      <c r="B259" t="str">
        <f>VLOOKUP(WH_Data[[#This Row],[Case Number]],Table2[[CaseNumber]:[Region__c]],1,FALSE)</f>
        <v>18447526</v>
      </c>
      <c r="C259" s="7" t="s">
        <v>407</v>
      </c>
      <c r="D259" s="7" t="s">
        <v>845</v>
      </c>
      <c r="E259" s="7" t="s">
        <v>706</v>
      </c>
      <c r="F259" s="7" t="s">
        <v>11</v>
      </c>
      <c r="G259" s="8">
        <v>45912.683344907404</v>
      </c>
      <c r="H259" s="7" t="s">
        <v>846</v>
      </c>
      <c r="I259" s="7" t="s">
        <v>885</v>
      </c>
      <c r="J259">
        <v>14</v>
      </c>
      <c r="K259" s="7" t="s">
        <v>30</v>
      </c>
      <c r="L259" s="7" t="s">
        <v>412</v>
      </c>
      <c r="M259" s="7" t="s">
        <v>413</v>
      </c>
      <c r="N259" s="7"/>
    </row>
    <row r="260" spans="1:14" hidden="1">
      <c r="A260" s="9" t="s">
        <v>278</v>
      </c>
      <c r="B260" t="str">
        <f>VLOOKUP(WH_Data[[#This Row],[Case Number]],Table2[[CaseNumber]:[Region__c]],1,FALSE)</f>
        <v>18447548</v>
      </c>
      <c r="C260" s="7" t="s">
        <v>407</v>
      </c>
      <c r="D260" s="7" t="s">
        <v>845</v>
      </c>
      <c r="E260" s="7" t="s">
        <v>886</v>
      </c>
      <c r="F260" s="7" t="s">
        <v>11</v>
      </c>
      <c r="G260" s="8">
        <v>45912.680613425924</v>
      </c>
      <c r="H260" s="7" t="s">
        <v>846</v>
      </c>
      <c r="I260" s="7" t="s">
        <v>887</v>
      </c>
      <c r="J260">
        <v>14</v>
      </c>
      <c r="K260" s="7" t="s">
        <v>30</v>
      </c>
      <c r="L260" s="7" t="s">
        <v>412</v>
      </c>
      <c r="M260" s="7" t="s">
        <v>413</v>
      </c>
      <c r="N260" s="7"/>
    </row>
    <row r="261" spans="1:14" hidden="1">
      <c r="A261" s="9" t="s">
        <v>279</v>
      </c>
      <c r="B261" t="str">
        <f>VLOOKUP(WH_Data[[#This Row],[Case Number]],Table2[[CaseNumber]:[Region__c]],1,FALSE)</f>
        <v>18447584</v>
      </c>
      <c r="C261" s="7" t="s">
        <v>407</v>
      </c>
      <c r="D261" s="7" t="s">
        <v>845</v>
      </c>
      <c r="E261" s="7" t="s">
        <v>888</v>
      </c>
      <c r="F261" s="7" t="s">
        <v>11</v>
      </c>
      <c r="G261" s="8">
        <v>45912.68173611111</v>
      </c>
      <c r="H261" s="7" t="s">
        <v>846</v>
      </c>
      <c r="I261" s="7" t="s">
        <v>889</v>
      </c>
      <c r="J261">
        <v>15</v>
      </c>
      <c r="K261" s="7" t="s">
        <v>30</v>
      </c>
      <c r="L261" s="7" t="s">
        <v>412</v>
      </c>
      <c r="M261" s="7" t="s">
        <v>413</v>
      </c>
      <c r="N261" s="7"/>
    </row>
    <row r="262" spans="1:14" hidden="1">
      <c r="A262" s="9" t="s">
        <v>280</v>
      </c>
      <c r="B262" t="str">
        <f>VLOOKUP(WH_Data[[#This Row],[Case Number]],Table2[[CaseNumber]:[Region__c]],1,FALSE)</f>
        <v>18447605</v>
      </c>
      <c r="C262" s="7" t="s">
        <v>407</v>
      </c>
      <c r="D262" s="7" t="s">
        <v>845</v>
      </c>
      <c r="E262" s="7" t="s">
        <v>890</v>
      </c>
      <c r="F262" s="7" t="s">
        <v>11</v>
      </c>
      <c r="G262" s="8">
        <v>45912.679050925923</v>
      </c>
      <c r="H262" s="7" t="s">
        <v>846</v>
      </c>
      <c r="I262" s="7" t="s">
        <v>891</v>
      </c>
      <c r="J262">
        <v>15</v>
      </c>
      <c r="K262" s="7" t="s">
        <v>30</v>
      </c>
      <c r="L262" s="7" t="s">
        <v>412</v>
      </c>
      <c r="M262" s="7" t="s">
        <v>413</v>
      </c>
      <c r="N262" s="7"/>
    </row>
    <row r="263" spans="1:14" hidden="1">
      <c r="A263" s="9" t="s">
        <v>281</v>
      </c>
      <c r="B263" t="str">
        <f>VLOOKUP(WH_Data[[#This Row],[Case Number]],Table2[[CaseNumber]:[Region__c]],1,FALSE)</f>
        <v>18447772</v>
      </c>
      <c r="C263" s="7" t="s">
        <v>407</v>
      </c>
      <c r="D263" s="7" t="s">
        <v>845</v>
      </c>
      <c r="E263" s="7" t="s">
        <v>892</v>
      </c>
      <c r="F263" s="7" t="s">
        <v>11</v>
      </c>
      <c r="G263" s="8">
        <v>45916.416886574072</v>
      </c>
      <c r="H263" s="7" t="s">
        <v>846</v>
      </c>
      <c r="I263" s="7" t="s">
        <v>893</v>
      </c>
      <c r="J263">
        <v>19</v>
      </c>
      <c r="K263" s="7" t="s">
        <v>30</v>
      </c>
      <c r="L263" s="7" t="s">
        <v>412</v>
      </c>
      <c r="M263" s="7" t="s">
        <v>413</v>
      </c>
      <c r="N263" s="7"/>
    </row>
    <row r="264" spans="1:14" hidden="1">
      <c r="A264" s="9" t="s">
        <v>282</v>
      </c>
      <c r="B264" t="str">
        <f>VLOOKUP(WH_Data[[#This Row],[Case Number]],Table2[[CaseNumber]:[Region__c]],1,FALSE)</f>
        <v>18459091</v>
      </c>
      <c r="C264" s="7" t="s">
        <v>422</v>
      </c>
      <c r="D264" s="7" t="s">
        <v>894</v>
      </c>
      <c r="E264" s="7" t="s">
        <v>424</v>
      </c>
      <c r="F264" s="7" t="s">
        <v>17</v>
      </c>
      <c r="G264" s="8">
        <v>45945.375763888886</v>
      </c>
      <c r="H264" s="7" t="s">
        <v>410</v>
      </c>
      <c r="I264" s="7" t="s">
        <v>895</v>
      </c>
      <c r="J264">
        <v>13</v>
      </c>
      <c r="K264" s="7" t="s">
        <v>30</v>
      </c>
      <c r="L264" s="7" t="s">
        <v>412</v>
      </c>
      <c r="M264" s="7" t="s">
        <v>413</v>
      </c>
      <c r="N264" s="7"/>
    </row>
    <row r="265" spans="1:14" hidden="1">
      <c r="A265" s="9" t="s">
        <v>283</v>
      </c>
      <c r="B265" t="str">
        <f>VLOOKUP(WH_Data[[#This Row],[Case Number]],Table2[[CaseNumber]:[Region__c]],1,FALSE)</f>
        <v>18460640</v>
      </c>
      <c r="C265" s="7" t="s">
        <v>414</v>
      </c>
      <c r="D265" s="7" t="s">
        <v>534</v>
      </c>
      <c r="E265" s="7" t="s">
        <v>460</v>
      </c>
      <c r="F265" s="7" t="s">
        <v>11</v>
      </c>
      <c r="G265" s="8">
        <v>45848.693831018521</v>
      </c>
      <c r="H265" s="7" t="s">
        <v>410</v>
      </c>
      <c r="I265" s="7" t="s">
        <v>896</v>
      </c>
      <c r="J265">
        <v>1</v>
      </c>
      <c r="K265" s="7" t="s">
        <v>30</v>
      </c>
      <c r="L265" s="7" t="s">
        <v>412</v>
      </c>
      <c r="M265" s="7" t="s">
        <v>413</v>
      </c>
      <c r="N265" s="7"/>
    </row>
    <row r="266" spans="1:14" hidden="1">
      <c r="A266" s="9" t="s">
        <v>284</v>
      </c>
      <c r="B266" t="str">
        <f>VLOOKUP(WH_Data[[#This Row],[Case Number]],Table2[[CaseNumber]:[Region__c]],1,FALSE)</f>
        <v>18460689</v>
      </c>
      <c r="C266" s="7" t="s">
        <v>414</v>
      </c>
      <c r="D266" s="7" t="s">
        <v>534</v>
      </c>
      <c r="E266" s="7" t="s">
        <v>526</v>
      </c>
      <c r="F266" s="7" t="s">
        <v>11</v>
      </c>
      <c r="G266" s="8">
        <v>45848.719212962962</v>
      </c>
      <c r="H266" s="7" t="s">
        <v>896</v>
      </c>
      <c r="I266" s="7" t="s">
        <v>897</v>
      </c>
      <c r="J266">
        <v>1</v>
      </c>
      <c r="K266" s="7" t="s">
        <v>30</v>
      </c>
      <c r="L266" s="7" t="s">
        <v>412</v>
      </c>
      <c r="M266" s="7" t="s">
        <v>413</v>
      </c>
      <c r="N266" s="7"/>
    </row>
    <row r="267" spans="1:14" hidden="1">
      <c r="A267" s="9" t="s">
        <v>285</v>
      </c>
      <c r="B267" t="str">
        <f>VLOOKUP(WH_Data[[#This Row],[Case Number]],Table2[[CaseNumber]:[Region__c]],1,FALSE)</f>
        <v>18460785</v>
      </c>
      <c r="C267" s="7" t="s">
        <v>414</v>
      </c>
      <c r="D267" s="7" t="s">
        <v>534</v>
      </c>
      <c r="E267" s="7" t="s">
        <v>415</v>
      </c>
      <c r="F267" s="7" t="s">
        <v>11</v>
      </c>
      <c r="G267" s="8">
        <v>45876.268125000002</v>
      </c>
      <c r="H267" s="7" t="s">
        <v>896</v>
      </c>
      <c r="I267" s="7" t="s">
        <v>898</v>
      </c>
      <c r="J267">
        <v>13</v>
      </c>
      <c r="K267" s="7" t="s">
        <v>30</v>
      </c>
      <c r="L267" s="7" t="s">
        <v>412</v>
      </c>
      <c r="M267" s="7" t="s">
        <v>413</v>
      </c>
      <c r="N267" s="7"/>
    </row>
    <row r="268" spans="1:14" hidden="1">
      <c r="A268" s="9" t="s">
        <v>286</v>
      </c>
      <c r="B268" t="str">
        <f>VLOOKUP(WH_Data[[#This Row],[Case Number]],Table2[[CaseNumber]:[Region__c]],1,FALSE)</f>
        <v>18460804</v>
      </c>
      <c r="C268" s="7" t="s">
        <v>414</v>
      </c>
      <c r="D268" s="7" t="s">
        <v>534</v>
      </c>
      <c r="E268" s="7" t="s">
        <v>651</v>
      </c>
      <c r="F268" s="7" t="s">
        <v>11</v>
      </c>
      <c r="G268" s="8">
        <v>45875.260324074072</v>
      </c>
      <c r="H268" s="7" t="s">
        <v>896</v>
      </c>
      <c r="I268" s="7" t="s">
        <v>899</v>
      </c>
      <c r="J268">
        <v>12</v>
      </c>
      <c r="K268" s="7" t="s">
        <v>30</v>
      </c>
      <c r="L268" s="7" t="s">
        <v>412</v>
      </c>
      <c r="M268" s="7" t="s">
        <v>413</v>
      </c>
      <c r="N268" s="7"/>
    </row>
    <row r="269" spans="1:14" hidden="1">
      <c r="A269" s="9" t="s">
        <v>287</v>
      </c>
      <c r="B269" t="str">
        <f>VLOOKUP(WH_Data[[#This Row],[Case Number]],Table2[[CaseNumber]:[Region__c]],1,FALSE)</f>
        <v>18460817</v>
      </c>
      <c r="C269" s="7" t="s">
        <v>414</v>
      </c>
      <c r="D269" s="7" t="s">
        <v>534</v>
      </c>
      <c r="E269" s="7" t="s">
        <v>573</v>
      </c>
      <c r="F269" s="7" t="s">
        <v>11</v>
      </c>
      <c r="G269" s="8">
        <v>45882.239699074074</v>
      </c>
      <c r="H269" s="7" t="s">
        <v>896</v>
      </c>
      <c r="I269" s="7" t="s">
        <v>900</v>
      </c>
      <c r="J269">
        <v>7</v>
      </c>
      <c r="K269" s="7" t="s">
        <v>30</v>
      </c>
      <c r="L269" s="7" t="s">
        <v>412</v>
      </c>
      <c r="M269" s="7" t="s">
        <v>413</v>
      </c>
      <c r="N269" s="7"/>
    </row>
    <row r="270" spans="1:14" hidden="1">
      <c r="A270" s="9" t="s">
        <v>288</v>
      </c>
      <c r="B270" t="str">
        <f>VLOOKUP(WH_Data[[#This Row],[Case Number]],Table2[[CaseNumber]:[Region__c]],1,FALSE)</f>
        <v>18460836</v>
      </c>
      <c r="C270" s="7" t="s">
        <v>414</v>
      </c>
      <c r="D270" s="7" t="s">
        <v>534</v>
      </c>
      <c r="E270" s="7" t="s">
        <v>901</v>
      </c>
      <c r="F270" s="7" t="s">
        <v>11</v>
      </c>
      <c r="G270" s="8">
        <v>45882.246678240743</v>
      </c>
      <c r="H270" s="7" t="s">
        <v>896</v>
      </c>
      <c r="I270" s="7" t="s">
        <v>902</v>
      </c>
      <c r="J270">
        <v>9</v>
      </c>
      <c r="K270" s="7" t="s">
        <v>30</v>
      </c>
      <c r="L270" s="7" t="s">
        <v>412</v>
      </c>
      <c r="M270" s="7" t="s">
        <v>413</v>
      </c>
      <c r="N270" s="7"/>
    </row>
    <row r="271" spans="1:14" hidden="1">
      <c r="A271" s="9" t="s">
        <v>289</v>
      </c>
      <c r="B271" t="str">
        <f>VLOOKUP(WH_Data[[#This Row],[Case Number]],Table2[[CaseNumber]:[Region__c]],1,FALSE)</f>
        <v>18460846</v>
      </c>
      <c r="C271" s="7" t="s">
        <v>414</v>
      </c>
      <c r="D271" s="7" t="s">
        <v>534</v>
      </c>
      <c r="E271" s="7" t="s">
        <v>524</v>
      </c>
      <c r="F271" s="7" t="s">
        <v>11</v>
      </c>
      <c r="G271" s="8">
        <v>45894.268564814818</v>
      </c>
      <c r="H271" s="7" t="s">
        <v>896</v>
      </c>
      <c r="I271" s="7" t="s">
        <v>903</v>
      </c>
      <c r="J271">
        <v>14</v>
      </c>
      <c r="K271" s="7" t="s">
        <v>30</v>
      </c>
      <c r="L271" s="7" t="s">
        <v>412</v>
      </c>
      <c r="M271" s="7" t="s">
        <v>413</v>
      </c>
      <c r="N271" s="7"/>
    </row>
    <row r="272" spans="1:14" hidden="1">
      <c r="A272" s="9" t="s">
        <v>290</v>
      </c>
      <c r="B272" t="str">
        <f>VLOOKUP(WH_Data[[#This Row],[Case Number]],Table2[[CaseNumber]:[Region__c]],1,FALSE)</f>
        <v>18460853</v>
      </c>
      <c r="C272" s="7" t="s">
        <v>414</v>
      </c>
      <c r="D272" s="7" t="s">
        <v>534</v>
      </c>
      <c r="E272" s="7" t="s">
        <v>509</v>
      </c>
      <c r="F272" s="7" t="s">
        <v>11</v>
      </c>
      <c r="G272" s="8">
        <v>45895.523321759261</v>
      </c>
      <c r="H272" s="7" t="s">
        <v>896</v>
      </c>
      <c r="I272" s="7" t="s">
        <v>904</v>
      </c>
      <c r="J272">
        <v>5</v>
      </c>
      <c r="K272" s="7" t="s">
        <v>30</v>
      </c>
      <c r="L272" s="7" t="s">
        <v>412</v>
      </c>
      <c r="M272" s="7" t="s">
        <v>413</v>
      </c>
      <c r="N272" s="7"/>
    </row>
    <row r="273" spans="1:14" hidden="1">
      <c r="A273" s="9" t="s">
        <v>291</v>
      </c>
      <c r="B273" t="str">
        <f>VLOOKUP(WH_Data[[#This Row],[Case Number]],Table2[[CaseNumber]:[Region__c]],1,FALSE)</f>
        <v>18460865</v>
      </c>
      <c r="C273" s="7" t="s">
        <v>414</v>
      </c>
      <c r="D273" s="7" t="s">
        <v>534</v>
      </c>
      <c r="E273" s="7" t="s">
        <v>440</v>
      </c>
      <c r="F273" s="7" t="s">
        <v>11</v>
      </c>
      <c r="G273" s="8">
        <v>45898.222650462965</v>
      </c>
      <c r="H273" s="7" t="s">
        <v>896</v>
      </c>
      <c r="I273" s="7" t="s">
        <v>905</v>
      </c>
      <c r="J273">
        <v>14</v>
      </c>
      <c r="K273" s="7" t="s">
        <v>30</v>
      </c>
      <c r="L273" s="7" t="s">
        <v>412</v>
      </c>
      <c r="M273" s="7" t="s">
        <v>413</v>
      </c>
      <c r="N273" s="7"/>
    </row>
    <row r="274" spans="1:14">
      <c r="A274" s="9" t="s">
        <v>1048</v>
      </c>
      <c r="B274" t="e">
        <f>VLOOKUP(WH_Data[[#This Row],[Case Number]],Table2[[CaseNumber]:[Region__c]],1,FALSE)</f>
        <v>#N/A</v>
      </c>
      <c r="C274" s="7" t="s">
        <v>414</v>
      </c>
      <c r="D274" s="7" t="s">
        <v>534</v>
      </c>
      <c r="E274" s="7" t="s">
        <v>743</v>
      </c>
      <c r="F274" s="7" t="s">
        <v>11</v>
      </c>
      <c r="G274" s="8">
        <v>45914.362615740742</v>
      </c>
      <c r="H274" s="7" t="s">
        <v>896</v>
      </c>
      <c r="I274" s="7" t="s">
        <v>906</v>
      </c>
      <c r="J274">
        <v>19</v>
      </c>
      <c r="K274" s="7" t="s">
        <v>30</v>
      </c>
      <c r="L274" s="7" t="s">
        <v>412</v>
      </c>
      <c r="M274" s="7" t="s">
        <v>413</v>
      </c>
      <c r="N274" s="7"/>
    </row>
    <row r="275" spans="1:14" hidden="1">
      <c r="A275" s="9" t="s">
        <v>292</v>
      </c>
      <c r="B275" t="str">
        <f>VLOOKUP(WH_Data[[#This Row],[Case Number]],Table2[[CaseNumber]:[Region__c]],1,FALSE)</f>
        <v>18461590</v>
      </c>
      <c r="C275" s="7" t="s">
        <v>414</v>
      </c>
      <c r="D275" s="7" t="s">
        <v>534</v>
      </c>
      <c r="E275" s="7" t="s">
        <v>678</v>
      </c>
      <c r="F275" s="7" t="s">
        <v>11</v>
      </c>
      <c r="G275" s="8">
        <v>45926.250104166669</v>
      </c>
      <c r="H275" s="7" t="s">
        <v>896</v>
      </c>
      <c r="I275" s="7" t="s">
        <v>907</v>
      </c>
      <c r="J275">
        <v>15</v>
      </c>
      <c r="K275" s="7" t="s">
        <v>30</v>
      </c>
      <c r="L275" s="7" t="s">
        <v>412</v>
      </c>
      <c r="M275" s="7" t="s">
        <v>413</v>
      </c>
      <c r="N275" s="7"/>
    </row>
    <row r="276" spans="1:14" hidden="1">
      <c r="A276" s="9" t="s">
        <v>293</v>
      </c>
      <c r="B276" t="str">
        <f>VLOOKUP(WH_Data[[#This Row],[Case Number]],Table2[[CaseNumber]:[Region__c]],1,FALSE)</f>
        <v>18465822</v>
      </c>
      <c r="C276" s="7" t="s">
        <v>422</v>
      </c>
      <c r="D276" s="7" t="s">
        <v>842</v>
      </c>
      <c r="E276" s="7" t="s">
        <v>446</v>
      </c>
      <c r="F276" s="7" t="s">
        <v>11</v>
      </c>
      <c r="G276" s="8">
        <v>45944.387615740743</v>
      </c>
      <c r="H276" s="7" t="s">
        <v>410</v>
      </c>
      <c r="I276" s="7" t="s">
        <v>908</v>
      </c>
      <c r="J276">
        <v>39</v>
      </c>
      <c r="K276" s="7" t="s">
        <v>30</v>
      </c>
      <c r="L276" s="7" t="s">
        <v>412</v>
      </c>
      <c r="M276" s="7" t="s">
        <v>413</v>
      </c>
      <c r="N276" s="7"/>
    </row>
    <row r="277" spans="1:14" hidden="1">
      <c r="A277" s="9" t="s">
        <v>294</v>
      </c>
      <c r="B277" t="str">
        <f>VLOOKUP(WH_Data[[#This Row],[Case Number]],Table2[[CaseNumber]:[Region__c]],1,FALSE)</f>
        <v>18466216</v>
      </c>
      <c r="C277" s="7" t="s">
        <v>414</v>
      </c>
      <c r="D277" s="7" t="s">
        <v>523</v>
      </c>
      <c r="E277" s="7" t="s">
        <v>909</v>
      </c>
      <c r="F277" s="7" t="s">
        <v>11</v>
      </c>
      <c r="G277" s="8">
        <v>45940.304143518515</v>
      </c>
      <c r="H277" s="7" t="s">
        <v>410</v>
      </c>
      <c r="I277" s="7" t="s">
        <v>910</v>
      </c>
      <c r="J277">
        <v>14</v>
      </c>
      <c r="K277" s="7" t="s">
        <v>30</v>
      </c>
      <c r="L277" s="7" t="s">
        <v>412</v>
      </c>
      <c r="M277" s="7" t="s">
        <v>413</v>
      </c>
      <c r="N277" s="7"/>
    </row>
    <row r="278" spans="1:14" hidden="1">
      <c r="A278" s="9" t="s">
        <v>295</v>
      </c>
      <c r="B278" t="str">
        <f>VLOOKUP(WH_Data[[#This Row],[Case Number]],Table2[[CaseNumber]:[Region__c]],1,FALSE)</f>
        <v>18471876</v>
      </c>
      <c r="C278" s="7" t="s">
        <v>422</v>
      </c>
      <c r="D278" s="7" t="s">
        <v>800</v>
      </c>
      <c r="E278" s="7" t="s">
        <v>573</v>
      </c>
      <c r="F278" s="7" t="s">
        <v>19</v>
      </c>
      <c r="G278" s="8">
        <v>45862.42832175926</v>
      </c>
      <c r="H278" s="7" t="s">
        <v>801</v>
      </c>
      <c r="I278" s="7" t="s">
        <v>911</v>
      </c>
      <c r="J278">
        <v>2</v>
      </c>
      <c r="K278" s="7" t="s">
        <v>30</v>
      </c>
      <c r="L278" s="7" t="s">
        <v>412</v>
      </c>
      <c r="M278" s="7" t="s">
        <v>413</v>
      </c>
      <c r="N278" s="7"/>
    </row>
    <row r="279" spans="1:14" hidden="1">
      <c r="A279" s="9" t="s">
        <v>296</v>
      </c>
      <c r="B279" t="str">
        <f>VLOOKUP(WH_Data[[#This Row],[Case Number]],Table2[[CaseNumber]:[Region__c]],1,FALSE)</f>
        <v>18473906</v>
      </c>
      <c r="C279" s="7" t="s">
        <v>414</v>
      </c>
      <c r="D279" s="7" t="s">
        <v>912</v>
      </c>
      <c r="E279" s="7" t="s">
        <v>463</v>
      </c>
      <c r="F279" s="7" t="s">
        <v>46</v>
      </c>
      <c r="G279" s="8">
        <v>45958.538252314815</v>
      </c>
      <c r="H279" s="7" t="s">
        <v>410</v>
      </c>
      <c r="I279" s="7" t="s">
        <v>913</v>
      </c>
      <c r="J279">
        <v>6</v>
      </c>
      <c r="K279" s="7" t="s">
        <v>30</v>
      </c>
      <c r="L279" s="7" t="s">
        <v>412</v>
      </c>
      <c r="M279" s="7" t="s">
        <v>413</v>
      </c>
      <c r="N279" s="7"/>
    </row>
    <row r="280" spans="1:14" hidden="1">
      <c r="A280" s="9" t="s">
        <v>297</v>
      </c>
      <c r="B280" t="str">
        <f>VLOOKUP(WH_Data[[#This Row],[Case Number]],Table2[[CaseNumber]:[Region__c]],1,FALSE)</f>
        <v>18485540</v>
      </c>
      <c r="C280" s="7" t="s">
        <v>407</v>
      </c>
      <c r="D280" s="7" t="s">
        <v>772</v>
      </c>
      <c r="E280" s="7" t="s">
        <v>657</v>
      </c>
      <c r="F280" s="7" t="s">
        <v>44</v>
      </c>
      <c r="G280" s="8">
        <v>45980.740300925929</v>
      </c>
      <c r="H280" s="7" t="s">
        <v>410</v>
      </c>
      <c r="I280" s="7" t="s">
        <v>914</v>
      </c>
      <c r="J280">
        <v>14</v>
      </c>
      <c r="K280" s="7" t="s">
        <v>30</v>
      </c>
      <c r="L280" s="7" t="s">
        <v>412</v>
      </c>
      <c r="M280" s="7" t="s">
        <v>413</v>
      </c>
      <c r="N280" s="7"/>
    </row>
    <row r="281" spans="1:14" hidden="1">
      <c r="A281" s="9" t="s">
        <v>298</v>
      </c>
      <c r="B281" t="str">
        <f>VLOOKUP(WH_Data[[#This Row],[Case Number]],Table2[[CaseNumber]:[Region__c]],1,FALSE)</f>
        <v>18490344</v>
      </c>
      <c r="C281" s="7" t="s">
        <v>414</v>
      </c>
      <c r="D281" s="7" t="s">
        <v>693</v>
      </c>
      <c r="E281" s="7" t="s">
        <v>685</v>
      </c>
      <c r="F281" s="7" t="s">
        <v>11</v>
      </c>
      <c r="G281" s="8">
        <v>45847.242881944447</v>
      </c>
      <c r="H281" s="7" t="s">
        <v>410</v>
      </c>
      <c r="I281" s="7" t="s">
        <v>915</v>
      </c>
      <c r="J281">
        <v>7</v>
      </c>
      <c r="K281" s="7" t="s">
        <v>30</v>
      </c>
      <c r="L281" s="7" t="s">
        <v>412</v>
      </c>
      <c r="M281" s="7" t="s">
        <v>413</v>
      </c>
      <c r="N281" s="7"/>
    </row>
    <row r="282" spans="1:14" hidden="1">
      <c r="A282" s="9" t="s">
        <v>299</v>
      </c>
      <c r="B282" t="str">
        <f>VLOOKUP(WH_Data[[#This Row],[Case Number]],Table2[[CaseNumber]:[Region__c]],1,FALSE)</f>
        <v>18492823</v>
      </c>
      <c r="C282" s="7" t="s">
        <v>407</v>
      </c>
      <c r="D282" s="7" t="s">
        <v>736</v>
      </c>
      <c r="E282" s="7" t="s">
        <v>440</v>
      </c>
      <c r="F282" s="7" t="s">
        <v>15</v>
      </c>
      <c r="G282" s="8">
        <v>45982.601435185185</v>
      </c>
      <c r="H282" s="7" t="s">
        <v>410</v>
      </c>
      <c r="I282" s="7" t="s">
        <v>916</v>
      </c>
      <c r="J282">
        <v>14</v>
      </c>
      <c r="K282" s="7" t="s">
        <v>30</v>
      </c>
      <c r="L282" s="7" t="s">
        <v>412</v>
      </c>
      <c r="M282" s="7" t="s">
        <v>413</v>
      </c>
      <c r="N282" s="7"/>
    </row>
    <row r="283" spans="1:14" hidden="1">
      <c r="A283" s="9" t="s">
        <v>300</v>
      </c>
      <c r="B283" t="str">
        <f>VLOOKUP(WH_Data[[#This Row],[Case Number]],Table2[[CaseNumber]:[Region__c]],1,FALSE)</f>
        <v>18497949</v>
      </c>
      <c r="C283" s="7" t="s">
        <v>422</v>
      </c>
      <c r="D283" s="7" t="s">
        <v>800</v>
      </c>
      <c r="E283" s="7" t="s">
        <v>739</v>
      </c>
      <c r="F283" s="7" t="s">
        <v>19</v>
      </c>
      <c r="G283" s="8">
        <v>45866.329189814816</v>
      </c>
      <c r="H283" s="7" t="s">
        <v>410</v>
      </c>
      <c r="I283" s="7" t="s">
        <v>801</v>
      </c>
      <c r="J283">
        <v>5</v>
      </c>
      <c r="K283" s="7" t="s">
        <v>30</v>
      </c>
      <c r="L283" s="7" t="s">
        <v>412</v>
      </c>
      <c r="M283" s="7" t="s">
        <v>413</v>
      </c>
      <c r="N283" s="7"/>
    </row>
    <row r="284" spans="1:14" hidden="1">
      <c r="A284" s="9" t="s">
        <v>301</v>
      </c>
      <c r="B284" t="str">
        <f>VLOOKUP(WH_Data[[#This Row],[Case Number]],Table2[[CaseNumber]:[Region__c]],1,FALSE)</f>
        <v>18498551</v>
      </c>
      <c r="C284" s="7" t="s">
        <v>414</v>
      </c>
      <c r="D284" s="7" t="s">
        <v>917</v>
      </c>
      <c r="E284" s="7" t="s">
        <v>490</v>
      </c>
      <c r="F284" s="7" t="s">
        <v>19</v>
      </c>
      <c r="G284" s="8">
        <v>45933.271296296298</v>
      </c>
      <c r="H284" s="7" t="s">
        <v>410</v>
      </c>
      <c r="I284" s="7" t="s">
        <v>918</v>
      </c>
      <c r="J284">
        <v>15</v>
      </c>
      <c r="K284" s="7" t="s">
        <v>30</v>
      </c>
      <c r="L284" s="7" t="s">
        <v>412</v>
      </c>
      <c r="M284" s="7" t="s">
        <v>413</v>
      </c>
      <c r="N284" s="7"/>
    </row>
    <row r="285" spans="1:14" hidden="1">
      <c r="A285" s="9" t="s">
        <v>302</v>
      </c>
      <c r="B285" t="str">
        <f>VLOOKUP(WH_Data[[#This Row],[Case Number]],Table2[[CaseNumber]:[Region__c]],1,FALSE)</f>
        <v>18499476</v>
      </c>
      <c r="C285" s="7" t="s">
        <v>414</v>
      </c>
      <c r="D285" s="7" t="s">
        <v>523</v>
      </c>
      <c r="E285" s="7" t="s">
        <v>490</v>
      </c>
      <c r="F285" s="7" t="s">
        <v>19</v>
      </c>
      <c r="G285" s="8">
        <v>45931.581087962964</v>
      </c>
      <c r="H285" s="7" t="s">
        <v>410</v>
      </c>
      <c r="I285" s="7" t="s">
        <v>919</v>
      </c>
      <c r="J285">
        <v>14</v>
      </c>
      <c r="K285" s="7" t="s">
        <v>30</v>
      </c>
      <c r="L285" s="7" t="s">
        <v>412</v>
      </c>
      <c r="M285" s="7" t="s">
        <v>413</v>
      </c>
      <c r="N285" s="7"/>
    </row>
    <row r="286" spans="1:14" hidden="1">
      <c r="A286" s="9" t="s">
        <v>303</v>
      </c>
      <c r="B286" t="str">
        <f>VLOOKUP(WH_Data[[#This Row],[Case Number]],Table2[[CaseNumber]:[Region__c]],1,FALSE)</f>
        <v>18504797</v>
      </c>
      <c r="C286" s="7" t="s">
        <v>414</v>
      </c>
      <c r="D286" s="7" t="s">
        <v>534</v>
      </c>
      <c r="E286" s="7" t="s">
        <v>775</v>
      </c>
      <c r="F286" s="7" t="s">
        <v>11</v>
      </c>
      <c r="G286" s="8">
        <v>45849.630624999998</v>
      </c>
      <c r="H286" s="7" t="s">
        <v>896</v>
      </c>
      <c r="I286" s="7" t="s">
        <v>920</v>
      </c>
      <c r="J286">
        <v>3</v>
      </c>
      <c r="K286" s="7" t="s">
        <v>30</v>
      </c>
      <c r="L286" s="7" t="s">
        <v>412</v>
      </c>
      <c r="M286" s="7" t="s">
        <v>413</v>
      </c>
      <c r="N286" s="7"/>
    </row>
    <row r="287" spans="1:14" hidden="1">
      <c r="A287" s="9" t="s">
        <v>304</v>
      </c>
      <c r="B287" t="str">
        <f>VLOOKUP(WH_Data[[#This Row],[Case Number]],Table2[[CaseNumber]:[Region__c]],1,FALSE)</f>
        <v>18524628</v>
      </c>
      <c r="C287" s="7" t="s">
        <v>407</v>
      </c>
      <c r="D287" s="7" t="s">
        <v>545</v>
      </c>
      <c r="E287" s="7" t="s">
        <v>676</v>
      </c>
      <c r="F287" s="7" t="s">
        <v>17</v>
      </c>
      <c r="G287" s="8">
        <v>45870.525694444441</v>
      </c>
      <c r="H287" s="7" t="s">
        <v>410</v>
      </c>
      <c r="I287" s="7" t="s">
        <v>921</v>
      </c>
      <c r="J287">
        <v>11</v>
      </c>
      <c r="K287" s="7" t="s">
        <v>30</v>
      </c>
      <c r="L287" s="7" t="s">
        <v>412</v>
      </c>
      <c r="M287" s="7" t="s">
        <v>413</v>
      </c>
      <c r="N287" s="7"/>
    </row>
    <row r="288" spans="1:14" hidden="1">
      <c r="A288" s="9" t="s">
        <v>305</v>
      </c>
      <c r="B288" t="str">
        <f>VLOOKUP(WH_Data[[#This Row],[Case Number]],Table2[[CaseNumber]:[Region__c]],1,FALSE)</f>
        <v>18532061</v>
      </c>
      <c r="C288" s="7" t="s">
        <v>422</v>
      </c>
      <c r="D288" s="7" t="s">
        <v>922</v>
      </c>
      <c r="E288" s="7" t="s">
        <v>436</v>
      </c>
      <c r="F288" s="7" t="s">
        <v>17</v>
      </c>
      <c r="G288" s="8">
        <v>45961.453761574077</v>
      </c>
      <c r="H288" s="7" t="s">
        <v>410</v>
      </c>
      <c r="I288" s="7" t="s">
        <v>923</v>
      </c>
      <c r="J288">
        <v>31</v>
      </c>
      <c r="K288" s="7" t="s">
        <v>30</v>
      </c>
      <c r="L288" s="7" t="s">
        <v>412</v>
      </c>
      <c r="M288" s="7" t="s">
        <v>413</v>
      </c>
      <c r="N288" s="7"/>
    </row>
    <row r="289" spans="1:14" hidden="1">
      <c r="A289" s="9" t="s">
        <v>306</v>
      </c>
      <c r="B289" t="str">
        <f>VLOOKUP(WH_Data[[#This Row],[Case Number]],Table2[[CaseNumber]:[Region__c]],1,FALSE)</f>
        <v>18539060</v>
      </c>
      <c r="C289" s="7" t="s">
        <v>407</v>
      </c>
      <c r="D289" s="7" t="s">
        <v>531</v>
      </c>
      <c r="E289" s="7" t="s">
        <v>672</v>
      </c>
      <c r="F289" s="7" t="s">
        <v>11</v>
      </c>
      <c r="G289" s="8">
        <v>45944.4766087963</v>
      </c>
      <c r="H289" s="7" t="s">
        <v>410</v>
      </c>
      <c r="I289" s="7" t="s">
        <v>924</v>
      </c>
      <c r="J289">
        <v>35</v>
      </c>
      <c r="K289" s="7" t="s">
        <v>30</v>
      </c>
      <c r="L289" s="7" t="s">
        <v>412</v>
      </c>
      <c r="M289" s="7" t="s">
        <v>413</v>
      </c>
      <c r="N289" s="7"/>
    </row>
    <row r="290" spans="1:14" hidden="1">
      <c r="A290" s="9" t="s">
        <v>307</v>
      </c>
      <c r="B290" t="str">
        <f>VLOOKUP(WH_Data[[#This Row],[Case Number]],Table2[[CaseNumber]:[Region__c]],1,FALSE)</f>
        <v>18540465</v>
      </c>
      <c r="C290" s="7" t="s">
        <v>414</v>
      </c>
      <c r="D290" s="7" t="s">
        <v>925</v>
      </c>
      <c r="E290" s="7" t="s">
        <v>926</v>
      </c>
      <c r="F290" s="7" t="s">
        <v>11</v>
      </c>
      <c r="G290" s="8">
        <v>45933.54283564815</v>
      </c>
      <c r="H290" s="7" t="s">
        <v>410</v>
      </c>
      <c r="I290" s="7" t="s">
        <v>927</v>
      </c>
      <c r="J290">
        <v>11</v>
      </c>
      <c r="K290" s="7" t="s">
        <v>30</v>
      </c>
      <c r="L290" s="7" t="s">
        <v>412</v>
      </c>
      <c r="M290" s="7" t="s">
        <v>413</v>
      </c>
      <c r="N290" s="7"/>
    </row>
    <row r="291" spans="1:14" hidden="1">
      <c r="A291" s="9" t="s">
        <v>308</v>
      </c>
      <c r="B291" t="str">
        <f>VLOOKUP(WH_Data[[#This Row],[Case Number]],Table2[[CaseNumber]:[Region__c]],1,FALSE)</f>
        <v>18543330</v>
      </c>
      <c r="C291" s="7" t="s">
        <v>422</v>
      </c>
      <c r="D291" s="7" t="s">
        <v>928</v>
      </c>
      <c r="E291" s="7" t="s">
        <v>453</v>
      </c>
      <c r="F291" s="7" t="s">
        <v>11</v>
      </c>
      <c r="G291" s="8">
        <v>45945.400590277779</v>
      </c>
      <c r="H291" s="7" t="s">
        <v>410</v>
      </c>
      <c r="I291" s="7" t="s">
        <v>929</v>
      </c>
      <c r="J291">
        <v>8</v>
      </c>
      <c r="K291" s="7" t="s">
        <v>30</v>
      </c>
      <c r="L291" s="7" t="s">
        <v>412</v>
      </c>
      <c r="M291" s="7" t="s">
        <v>413</v>
      </c>
      <c r="N291" s="7"/>
    </row>
    <row r="292" spans="1:14" hidden="1">
      <c r="A292" s="9" t="s">
        <v>309</v>
      </c>
      <c r="B292" t="str">
        <f>VLOOKUP(WH_Data[[#This Row],[Case Number]],Table2[[CaseNumber]:[Region__c]],1,FALSE)</f>
        <v>18543868</v>
      </c>
      <c r="C292" s="7" t="s">
        <v>407</v>
      </c>
      <c r="D292" s="7" t="s">
        <v>930</v>
      </c>
      <c r="E292" s="7" t="s">
        <v>931</v>
      </c>
      <c r="F292" s="7" t="s">
        <v>11</v>
      </c>
      <c r="G292" s="8">
        <v>45916.433472222219</v>
      </c>
      <c r="H292" s="7" t="s">
        <v>410</v>
      </c>
      <c r="I292" s="7" t="s">
        <v>932</v>
      </c>
      <c r="J292">
        <v>13</v>
      </c>
      <c r="K292" s="7" t="s">
        <v>30</v>
      </c>
      <c r="L292" s="7" t="s">
        <v>412</v>
      </c>
      <c r="M292" s="7" t="s">
        <v>413</v>
      </c>
      <c r="N292" s="7"/>
    </row>
    <row r="293" spans="1:14" hidden="1">
      <c r="A293" s="9" t="s">
        <v>310</v>
      </c>
      <c r="B293" t="str">
        <f>VLOOKUP(WH_Data[[#This Row],[Case Number]],Table2[[CaseNumber]:[Region__c]],1,FALSE)</f>
        <v>18549996</v>
      </c>
      <c r="C293" s="7" t="s">
        <v>422</v>
      </c>
      <c r="D293" s="7" t="s">
        <v>933</v>
      </c>
      <c r="E293" s="7" t="s">
        <v>514</v>
      </c>
      <c r="F293" s="7" t="s">
        <v>15</v>
      </c>
      <c r="G293" s="8">
        <v>45936.326388888891</v>
      </c>
      <c r="H293" s="7" t="s">
        <v>410</v>
      </c>
      <c r="I293" s="7" t="s">
        <v>934</v>
      </c>
      <c r="J293">
        <v>10</v>
      </c>
      <c r="K293" s="7" t="s">
        <v>30</v>
      </c>
      <c r="L293" s="7" t="s">
        <v>412</v>
      </c>
      <c r="M293" s="7" t="s">
        <v>413</v>
      </c>
      <c r="N293" s="7"/>
    </row>
    <row r="294" spans="1:14" hidden="1">
      <c r="A294" s="9" t="s">
        <v>311</v>
      </c>
      <c r="B294" t="str">
        <f>VLOOKUP(WH_Data[[#This Row],[Case Number]],Table2[[CaseNumber]:[Region__c]],1,FALSE)</f>
        <v>18554271</v>
      </c>
      <c r="C294" s="7" t="s">
        <v>414</v>
      </c>
      <c r="D294" s="7" t="s">
        <v>511</v>
      </c>
      <c r="E294" s="7" t="s">
        <v>743</v>
      </c>
      <c r="F294" s="7" t="s">
        <v>11</v>
      </c>
      <c r="G294" s="8">
        <v>45908.313877314817</v>
      </c>
      <c r="H294" s="7" t="s">
        <v>410</v>
      </c>
      <c r="I294" s="7" t="s">
        <v>935</v>
      </c>
      <c r="J294">
        <v>10</v>
      </c>
      <c r="K294" s="7" t="s">
        <v>30</v>
      </c>
      <c r="L294" s="7" t="s">
        <v>412</v>
      </c>
      <c r="M294" s="7" t="s">
        <v>413</v>
      </c>
      <c r="N294" s="7"/>
    </row>
    <row r="295" spans="1:14" hidden="1">
      <c r="A295" s="9" t="s">
        <v>312</v>
      </c>
      <c r="B295" t="str">
        <f>VLOOKUP(WH_Data[[#This Row],[Case Number]],Table2[[CaseNumber]:[Region__c]],1,FALSE)</f>
        <v>18562810</v>
      </c>
      <c r="C295" s="7" t="s">
        <v>407</v>
      </c>
      <c r="D295" s="7" t="s">
        <v>936</v>
      </c>
      <c r="E295" s="7" t="s">
        <v>463</v>
      </c>
      <c r="F295" s="7" t="s">
        <v>11</v>
      </c>
      <c r="G295" s="8">
        <v>45945.43408564815</v>
      </c>
      <c r="H295" s="7" t="s">
        <v>410</v>
      </c>
      <c r="I295" s="7" t="s">
        <v>937</v>
      </c>
      <c r="J295">
        <v>8</v>
      </c>
      <c r="K295" s="7" t="s">
        <v>30</v>
      </c>
      <c r="L295" s="7" t="s">
        <v>412</v>
      </c>
      <c r="M295" s="7" t="s">
        <v>413</v>
      </c>
      <c r="N295" s="7"/>
    </row>
    <row r="296" spans="1:14" hidden="1">
      <c r="A296" s="9" t="s">
        <v>313</v>
      </c>
      <c r="B296" t="str">
        <f>VLOOKUP(WH_Data[[#This Row],[Case Number]],Table2[[CaseNumber]:[Region__c]],1,FALSE)</f>
        <v>18565832</v>
      </c>
      <c r="C296" s="7" t="s">
        <v>407</v>
      </c>
      <c r="D296" s="7" t="s">
        <v>815</v>
      </c>
      <c r="E296" s="7" t="s">
        <v>409</v>
      </c>
      <c r="F296" s="7" t="s">
        <v>19</v>
      </c>
      <c r="G296" s="8">
        <v>45889.47552083333</v>
      </c>
      <c r="H296" s="7" t="s">
        <v>410</v>
      </c>
      <c r="I296" s="7" t="s">
        <v>938</v>
      </c>
      <c r="J296">
        <v>12</v>
      </c>
      <c r="K296" s="7" t="s">
        <v>30</v>
      </c>
      <c r="L296" s="7" t="s">
        <v>412</v>
      </c>
      <c r="M296" s="7" t="s">
        <v>413</v>
      </c>
      <c r="N296" s="7"/>
    </row>
    <row r="297" spans="1:14" hidden="1">
      <c r="A297" s="9" t="s">
        <v>314</v>
      </c>
      <c r="B297" t="str">
        <f>VLOOKUP(WH_Data[[#This Row],[Case Number]],Table2[[CaseNumber]:[Region__c]],1,FALSE)</f>
        <v>18566596</v>
      </c>
      <c r="C297" s="7" t="s">
        <v>414</v>
      </c>
      <c r="D297" s="7" t="s">
        <v>608</v>
      </c>
      <c r="E297" s="7" t="s">
        <v>939</v>
      </c>
      <c r="F297" s="7" t="s">
        <v>11</v>
      </c>
      <c r="G297" s="8">
        <v>45933.293483796297</v>
      </c>
      <c r="H297" s="7" t="s">
        <v>940</v>
      </c>
      <c r="I297" s="7" t="s">
        <v>941</v>
      </c>
      <c r="J297">
        <v>4</v>
      </c>
      <c r="K297" s="7" t="s">
        <v>30</v>
      </c>
      <c r="L297" s="7" t="s">
        <v>412</v>
      </c>
      <c r="M297" s="7" t="s">
        <v>413</v>
      </c>
      <c r="N297" s="7"/>
    </row>
    <row r="298" spans="1:14" hidden="1">
      <c r="A298" s="9" t="s">
        <v>315</v>
      </c>
      <c r="B298" t="str">
        <f>VLOOKUP(WH_Data[[#This Row],[Case Number]],Table2[[CaseNumber]:[Region__c]],1,FALSE)</f>
        <v>18567146</v>
      </c>
      <c r="C298" s="7" t="s">
        <v>422</v>
      </c>
      <c r="D298" s="7" t="s">
        <v>800</v>
      </c>
      <c r="E298" s="7" t="s">
        <v>509</v>
      </c>
      <c r="F298" s="7" t="s">
        <v>19</v>
      </c>
      <c r="G298" s="8">
        <v>45862.421527777777</v>
      </c>
      <c r="H298" s="7" t="s">
        <v>801</v>
      </c>
      <c r="I298" s="7" t="s">
        <v>942</v>
      </c>
      <c r="J298">
        <v>1</v>
      </c>
      <c r="K298" s="7" t="s">
        <v>30</v>
      </c>
      <c r="L298" s="7" t="s">
        <v>412</v>
      </c>
      <c r="M298" s="7" t="s">
        <v>413</v>
      </c>
      <c r="N298" s="7"/>
    </row>
    <row r="299" spans="1:14" hidden="1">
      <c r="A299" s="9" t="s">
        <v>316</v>
      </c>
      <c r="B299" t="str">
        <f>VLOOKUP(WH_Data[[#This Row],[Case Number]],Table2[[CaseNumber]:[Region__c]],1,FALSE)</f>
        <v>18567819</v>
      </c>
      <c r="C299" s="7" t="s">
        <v>422</v>
      </c>
      <c r="D299" s="7" t="s">
        <v>894</v>
      </c>
      <c r="E299" s="7" t="s">
        <v>509</v>
      </c>
      <c r="F299" s="7" t="s">
        <v>17</v>
      </c>
      <c r="G299" s="8">
        <v>45943.46702546296</v>
      </c>
      <c r="H299" s="7" t="s">
        <v>895</v>
      </c>
      <c r="I299" s="7" t="s">
        <v>943</v>
      </c>
      <c r="J299">
        <v>12</v>
      </c>
      <c r="K299" s="7" t="s">
        <v>30</v>
      </c>
      <c r="L299" s="7" t="s">
        <v>412</v>
      </c>
      <c r="M299" s="7" t="s">
        <v>413</v>
      </c>
      <c r="N299" s="7"/>
    </row>
    <row r="300" spans="1:14" hidden="1">
      <c r="A300" s="9" t="s">
        <v>317</v>
      </c>
      <c r="B300" t="str">
        <f>VLOOKUP(WH_Data[[#This Row],[Case Number]],Table2[[CaseNumber]:[Region__c]],1,FALSE)</f>
        <v>18567844</v>
      </c>
      <c r="C300" s="7" t="s">
        <v>422</v>
      </c>
      <c r="D300" s="7" t="s">
        <v>894</v>
      </c>
      <c r="E300" s="7" t="s">
        <v>651</v>
      </c>
      <c r="F300" s="7" t="s">
        <v>17</v>
      </c>
      <c r="G300" s="8">
        <v>45943.467060185183</v>
      </c>
      <c r="H300" s="7" t="s">
        <v>895</v>
      </c>
      <c r="I300" s="7" t="s">
        <v>944</v>
      </c>
      <c r="J300">
        <v>12</v>
      </c>
      <c r="K300" s="7" t="s">
        <v>30</v>
      </c>
      <c r="L300" s="7" t="s">
        <v>412</v>
      </c>
      <c r="M300" s="7" t="s">
        <v>413</v>
      </c>
      <c r="N300" s="7"/>
    </row>
    <row r="301" spans="1:14" hidden="1">
      <c r="A301" s="9" t="s">
        <v>318</v>
      </c>
      <c r="B301" t="str">
        <f>VLOOKUP(WH_Data[[#This Row],[Case Number]],Table2[[CaseNumber]:[Region__c]],1,FALSE)</f>
        <v>18568870</v>
      </c>
      <c r="C301" s="7" t="s">
        <v>414</v>
      </c>
      <c r="D301" s="7" t="s">
        <v>608</v>
      </c>
      <c r="E301" s="7" t="s">
        <v>627</v>
      </c>
      <c r="F301" s="7" t="s">
        <v>11</v>
      </c>
      <c r="G301" s="8">
        <v>45945.2733912037</v>
      </c>
      <c r="H301" s="7" t="s">
        <v>940</v>
      </c>
      <c r="I301" s="7" t="s">
        <v>945</v>
      </c>
      <c r="J301">
        <v>13</v>
      </c>
      <c r="K301" s="7" t="s">
        <v>30</v>
      </c>
      <c r="L301" s="7" t="s">
        <v>412</v>
      </c>
      <c r="M301" s="7" t="s">
        <v>413</v>
      </c>
      <c r="N301" s="7"/>
    </row>
    <row r="302" spans="1:14" hidden="1">
      <c r="A302" s="9" t="s">
        <v>319</v>
      </c>
      <c r="B302" t="str">
        <f>VLOOKUP(WH_Data[[#This Row],[Case Number]],Table2[[CaseNumber]:[Region__c]],1,FALSE)</f>
        <v>18575027</v>
      </c>
      <c r="C302" s="7" t="s">
        <v>407</v>
      </c>
      <c r="D302" s="7" t="s">
        <v>689</v>
      </c>
      <c r="E302" s="7" t="s">
        <v>760</v>
      </c>
      <c r="F302" s="7" t="s">
        <v>11</v>
      </c>
      <c r="G302" s="8">
        <v>45944.485949074071</v>
      </c>
      <c r="H302" s="7" t="s">
        <v>410</v>
      </c>
      <c r="I302" s="7" t="s">
        <v>946</v>
      </c>
      <c r="J302">
        <v>40</v>
      </c>
      <c r="K302" s="7" t="s">
        <v>30</v>
      </c>
      <c r="L302" s="7" t="s">
        <v>412</v>
      </c>
      <c r="M302" s="7" t="s">
        <v>413</v>
      </c>
      <c r="N302" s="7"/>
    </row>
    <row r="303" spans="1:14" hidden="1">
      <c r="A303" s="9" t="s">
        <v>320</v>
      </c>
      <c r="B303" t="str">
        <f>VLOOKUP(WH_Data[[#This Row],[Case Number]],Table2[[CaseNumber]:[Region__c]],1,FALSE)</f>
        <v>18580003</v>
      </c>
      <c r="C303" s="7" t="s">
        <v>414</v>
      </c>
      <c r="D303" s="7" t="s">
        <v>608</v>
      </c>
      <c r="E303" s="7" t="s">
        <v>476</v>
      </c>
      <c r="F303" s="7" t="s">
        <v>11</v>
      </c>
      <c r="G303" s="8">
        <v>45931.608206018522</v>
      </c>
      <c r="H303" s="7" t="s">
        <v>940</v>
      </c>
      <c r="I303" s="7" t="s">
        <v>947</v>
      </c>
      <c r="J303">
        <v>2</v>
      </c>
      <c r="K303" s="7" t="s">
        <v>30</v>
      </c>
      <c r="L303" s="7" t="s">
        <v>412</v>
      </c>
      <c r="M303" s="7" t="s">
        <v>413</v>
      </c>
      <c r="N303" s="7"/>
    </row>
    <row r="304" spans="1:14" hidden="1">
      <c r="A304" s="9" t="s">
        <v>321</v>
      </c>
      <c r="B304" t="str">
        <f>VLOOKUP(WH_Data[[#This Row],[Case Number]],Table2[[CaseNumber]:[Region__c]],1,FALSE)</f>
        <v>18580005</v>
      </c>
      <c r="C304" s="7" t="s">
        <v>414</v>
      </c>
      <c r="D304" s="7" t="s">
        <v>608</v>
      </c>
      <c r="E304" s="7" t="s">
        <v>496</v>
      </c>
      <c r="F304" s="7" t="s">
        <v>11</v>
      </c>
      <c r="G304" s="8">
        <v>45940.272164351853</v>
      </c>
      <c r="H304" s="7" t="s">
        <v>940</v>
      </c>
      <c r="I304" s="7" t="s">
        <v>948</v>
      </c>
      <c r="J304">
        <v>11</v>
      </c>
      <c r="K304" s="7" t="s">
        <v>30</v>
      </c>
      <c r="L304" s="7" t="s">
        <v>412</v>
      </c>
      <c r="M304" s="7" t="s">
        <v>413</v>
      </c>
      <c r="N304" s="7"/>
    </row>
    <row r="305" spans="1:14" hidden="1">
      <c r="A305" s="9" t="s">
        <v>322</v>
      </c>
      <c r="B305" t="str">
        <f>VLOOKUP(WH_Data[[#This Row],[Case Number]],Table2[[CaseNumber]:[Region__c]],1,FALSE)</f>
        <v>18580007</v>
      </c>
      <c r="C305" s="7" t="s">
        <v>414</v>
      </c>
      <c r="D305" s="7" t="s">
        <v>608</v>
      </c>
      <c r="E305" s="7" t="s">
        <v>484</v>
      </c>
      <c r="F305" s="7" t="s">
        <v>11</v>
      </c>
      <c r="G305" s="8">
        <v>45945.273449074077</v>
      </c>
      <c r="H305" s="7" t="s">
        <v>410</v>
      </c>
      <c r="I305" s="7" t="s">
        <v>940</v>
      </c>
      <c r="J305">
        <v>13</v>
      </c>
      <c r="K305" s="7" t="s">
        <v>30</v>
      </c>
      <c r="L305" s="7" t="s">
        <v>412</v>
      </c>
      <c r="M305" s="7" t="s">
        <v>413</v>
      </c>
      <c r="N305" s="7"/>
    </row>
    <row r="306" spans="1:14" hidden="1">
      <c r="A306" s="9" t="s">
        <v>323</v>
      </c>
      <c r="B306" t="str">
        <f>VLOOKUP(WH_Data[[#This Row],[Case Number]],Table2[[CaseNumber]:[Region__c]],1,FALSE)</f>
        <v>18580021</v>
      </c>
      <c r="C306" s="7" t="s">
        <v>414</v>
      </c>
      <c r="D306" s="7" t="s">
        <v>608</v>
      </c>
      <c r="E306" s="7" t="s">
        <v>949</v>
      </c>
      <c r="F306" s="7" t="s">
        <v>11</v>
      </c>
      <c r="G306" s="8">
        <v>45943.493680555555</v>
      </c>
      <c r="H306" s="7" t="s">
        <v>940</v>
      </c>
      <c r="I306" s="7" t="s">
        <v>950</v>
      </c>
      <c r="J306">
        <v>14</v>
      </c>
      <c r="K306" s="7" t="s">
        <v>30</v>
      </c>
      <c r="L306" s="7" t="s">
        <v>412</v>
      </c>
      <c r="M306" s="7" t="s">
        <v>413</v>
      </c>
      <c r="N306" s="7"/>
    </row>
    <row r="307" spans="1:14" hidden="1">
      <c r="A307" s="9" t="s">
        <v>324</v>
      </c>
      <c r="B307" t="str">
        <f>VLOOKUP(WH_Data[[#This Row],[Case Number]],Table2[[CaseNumber]:[Region__c]],1,FALSE)</f>
        <v>18580026</v>
      </c>
      <c r="C307" s="7" t="s">
        <v>414</v>
      </c>
      <c r="D307" s="7" t="s">
        <v>608</v>
      </c>
      <c r="E307" s="7" t="s">
        <v>951</v>
      </c>
      <c r="F307" s="7" t="s">
        <v>11</v>
      </c>
      <c r="G307" s="8">
        <v>45933.286770833336</v>
      </c>
      <c r="H307" s="7" t="s">
        <v>940</v>
      </c>
      <c r="I307" s="7" t="s">
        <v>952</v>
      </c>
      <c r="J307">
        <v>4</v>
      </c>
      <c r="K307" s="7" t="s">
        <v>30</v>
      </c>
      <c r="L307" s="7" t="s">
        <v>412</v>
      </c>
      <c r="M307" s="7" t="s">
        <v>413</v>
      </c>
      <c r="N307" s="7"/>
    </row>
    <row r="308" spans="1:14" hidden="1">
      <c r="A308" s="9" t="s">
        <v>325</v>
      </c>
      <c r="B308" t="str">
        <f>VLOOKUP(WH_Data[[#This Row],[Case Number]],Table2[[CaseNumber]:[Region__c]],1,FALSE)</f>
        <v>18580077</v>
      </c>
      <c r="C308" s="7" t="s">
        <v>414</v>
      </c>
      <c r="D308" s="7" t="s">
        <v>608</v>
      </c>
      <c r="E308" s="7" t="s">
        <v>743</v>
      </c>
      <c r="F308" s="7" t="s">
        <v>11</v>
      </c>
      <c r="G308" s="8">
        <v>45945.273506944446</v>
      </c>
      <c r="H308" s="7" t="s">
        <v>940</v>
      </c>
      <c r="I308" s="7" t="s">
        <v>953</v>
      </c>
      <c r="J308">
        <v>13</v>
      </c>
      <c r="K308" s="7" t="s">
        <v>30</v>
      </c>
      <c r="L308" s="7" t="s">
        <v>412</v>
      </c>
      <c r="M308" s="7" t="s">
        <v>413</v>
      </c>
      <c r="N308" s="7"/>
    </row>
    <row r="309" spans="1:14" hidden="1">
      <c r="A309" s="9" t="s">
        <v>326</v>
      </c>
      <c r="B309" t="str">
        <f>VLOOKUP(WH_Data[[#This Row],[Case Number]],Table2[[CaseNumber]:[Region__c]],1,FALSE)</f>
        <v>18582722</v>
      </c>
      <c r="C309" s="7" t="s">
        <v>407</v>
      </c>
      <c r="D309" s="7" t="s">
        <v>426</v>
      </c>
      <c r="E309" s="7" t="s">
        <v>662</v>
      </c>
      <c r="F309" s="7" t="s">
        <v>11</v>
      </c>
      <c r="G309" s="8">
        <v>45943.46166666667</v>
      </c>
      <c r="H309" s="7" t="s">
        <v>410</v>
      </c>
      <c r="I309" s="7" t="s">
        <v>954</v>
      </c>
      <c r="J309">
        <v>4</v>
      </c>
      <c r="K309" s="7" t="s">
        <v>30</v>
      </c>
      <c r="L309" s="7" t="s">
        <v>412</v>
      </c>
      <c r="M309" s="7" t="s">
        <v>413</v>
      </c>
      <c r="N309" s="7"/>
    </row>
    <row r="310" spans="1:14" hidden="1">
      <c r="A310" s="9" t="s">
        <v>327</v>
      </c>
      <c r="B310" t="str">
        <f>VLOOKUP(WH_Data[[#This Row],[Case Number]],Table2[[CaseNumber]:[Region__c]],1,FALSE)</f>
        <v>18591616</v>
      </c>
      <c r="C310" s="7" t="s">
        <v>422</v>
      </c>
      <c r="D310" s="7" t="s">
        <v>894</v>
      </c>
      <c r="E310" s="7" t="s">
        <v>931</v>
      </c>
      <c r="F310" s="7" t="s">
        <v>17</v>
      </c>
      <c r="G310" s="8">
        <v>45946.292118055557</v>
      </c>
      <c r="H310" s="7" t="s">
        <v>895</v>
      </c>
      <c r="I310" s="7" t="s">
        <v>955</v>
      </c>
      <c r="J310">
        <v>15</v>
      </c>
      <c r="K310" s="7" t="s">
        <v>30</v>
      </c>
      <c r="L310" s="7" t="s">
        <v>412</v>
      </c>
      <c r="M310" s="7" t="s">
        <v>413</v>
      </c>
      <c r="N310" s="7"/>
    </row>
    <row r="311" spans="1:14" hidden="1">
      <c r="A311" s="9" t="s">
        <v>328</v>
      </c>
      <c r="B311" t="str">
        <f>VLOOKUP(WH_Data[[#This Row],[Case Number]],Table2[[CaseNumber]:[Region__c]],1,FALSE)</f>
        <v>18591618</v>
      </c>
      <c r="C311" s="7" t="s">
        <v>422</v>
      </c>
      <c r="D311" s="7" t="s">
        <v>894</v>
      </c>
      <c r="E311" s="7" t="s">
        <v>446</v>
      </c>
      <c r="F311" s="7" t="s">
        <v>17</v>
      </c>
      <c r="G311" s="8">
        <v>45943.467199074075</v>
      </c>
      <c r="H311" s="7" t="s">
        <v>895</v>
      </c>
      <c r="I311" s="7" t="s">
        <v>956</v>
      </c>
      <c r="J311">
        <v>11</v>
      </c>
      <c r="K311" s="7" t="s">
        <v>30</v>
      </c>
      <c r="L311" s="7" t="s">
        <v>412</v>
      </c>
      <c r="M311" s="7" t="s">
        <v>413</v>
      </c>
      <c r="N311" s="7"/>
    </row>
    <row r="312" spans="1:14" hidden="1">
      <c r="A312" s="9" t="s">
        <v>329</v>
      </c>
      <c r="B312" t="str">
        <f>VLOOKUP(WH_Data[[#This Row],[Case Number]],Table2[[CaseNumber]:[Region__c]],1,FALSE)</f>
        <v>18591622</v>
      </c>
      <c r="C312" s="7" t="s">
        <v>422</v>
      </c>
      <c r="D312" s="7" t="s">
        <v>894</v>
      </c>
      <c r="E312" s="7" t="s">
        <v>463</v>
      </c>
      <c r="F312" s="7" t="s">
        <v>17</v>
      </c>
      <c r="G312" s="8">
        <v>45943.467314814814</v>
      </c>
      <c r="H312" s="7" t="s">
        <v>895</v>
      </c>
      <c r="I312" s="7" t="s">
        <v>957</v>
      </c>
      <c r="J312">
        <v>12</v>
      </c>
      <c r="K312" s="7" t="s">
        <v>30</v>
      </c>
      <c r="L312" s="7" t="s">
        <v>412</v>
      </c>
      <c r="M312" s="7" t="s">
        <v>413</v>
      </c>
      <c r="N312" s="7"/>
    </row>
    <row r="313" spans="1:14" hidden="1">
      <c r="A313" s="9" t="s">
        <v>330</v>
      </c>
      <c r="B313" t="str">
        <f>VLOOKUP(WH_Data[[#This Row],[Case Number]],Table2[[CaseNumber]:[Region__c]],1,FALSE)</f>
        <v>18591625</v>
      </c>
      <c r="C313" s="7" t="s">
        <v>422</v>
      </c>
      <c r="D313" s="7" t="s">
        <v>894</v>
      </c>
      <c r="E313" s="7" t="s">
        <v>481</v>
      </c>
      <c r="F313" s="7" t="s">
        <v>17</v>
      </c>
      <c r="G313" s="8">
        <v>45943.467164351852</v>
      </c>
      <c r="H313" s="7" t="s">
        <v>895</v>
      </c>
      <c r="I313" s="7" t="s">
        <v>958</v>
      </c>
      <c r="J313">
        <v>12</v>
      </c>
      <c r="K313" s="7" t="s">
        <v>30</v>
      </c>
      <c r="L313" s="7" t="s">
        <v>412</v>
      </c>
      <c r="M313" s="7" t="s">
        <v>413</v>
      </c>
      <c r="N313" s="7"/>
    </row>
    <row r="314" spans="1:14" hidden="1">
      <c r="A314" s="9" t="s">
        <v>331</v>
      </c>
      <c r="B314" t="str">
        <f>VLOOKUP(WH_Data[[#This Row],[Case Number]],Table2[[CaseNumber]:[Region__c]],1,FALSE)</f>
        <v>18591628</v>
      </c>
      <c r="C314" s="7" t="s">
        <v>422</v>
      </c>
      <c r="D314" s="7" t="s">
        <v>894</v>
      </c>
      <c r="E314" s="7" t="s">
        <v>484</v>
      </c>
      <c r="F314" s="7" t="s">
        <v>17</v>
      </c>
      <c r="G314" s="8">
        <v>45943.467372685183</v>
      </c>
      <c r="H314" s="7" t="s">
        <v>895</v>
      </c>
      <c r="I314" s="7" t="s">
        <v>959</v>
      </c>
      <c r="J314">
        <v>12</v>
      </c>
      <c r="K314" s="7" t="s">
        <v>30</v>
      </c>
      <c r="L314" s="7" t="s">
        <v>412</v>
      </c>
      <c r="M314" s="7" t="s">
        <v>413</v>
      </c>
      <c r="N314" s="7"/>
    </row>
    <row r="315" spans="1:14" hidden="1">
      <c r="A315" s="9" t="s">
        <v>332</v>
      </c>
      <c r="B315" t="str">
        <f>VLOOKUP(WH_Data[[#This Row],[Case Number]],Table2[[CaseNumber]:[Region__c]],1,FALSE)</f>
        <v>18591630</v>
      </c>
      <c r="C315" s="7" t="s">
        <v>422</v>
      </c>
      <c r="D315" s="7" t="s">
        <v>894</v>
      </c>
      <c r="E315" s="7" t="s">
        <v>419</v>
      </c>
      <c r="F315" s="7" t="s">
        <v>17</v>
      </c>
      <c r="G315" s="8">
        <v>45945.375833333332</v>
      </c>
      <c r="H315" s="7" t="s">
        <v>895</v>
      </c>
      <c r="I315" s="7" t="s">
        <v>960</v>
      </c>
      <c r="J315">
        <v>13</v>
      </c>
      <c r="K315" s="7" t="s">
        <v>30</v>
      </c>
      <c r="L315" s="7" t="s">
        <v>412</v>
      </c>
      <c r="M315" s="7" t="s">
        <v>413</v>
      </c>
      <c r="N315" s="7"/>
    </row>
    <row r="316" spans="1:14" hidden="1">
      <c r="A316" s="9" t="s">
        <v>333</v>
      </c>
      <c r="B316" t="str">
        <f>VLOOKUP(WH_Data[[#This Row],[Case Number]],Table2[[CaseNumber]:[Region__c]],1,FALSE)</f>
        <v>18591632</v>
      </c>
      <c r="C316" s="7" t="s">
        <v>422</v>
      </c>
      <c r="D316" s="7" t="s">
        <v>894</v>
      </c>
      <c r="E316" s="7" t="s">
        <v>588</v>
      </c>
      <c r="F316" s="7" t="s">
        <v>17</v>
      </c>
      <c r="G316" s="8">
        <v>45943.467106481483</v>
      </c>
      <c r="H316" s="7" t="s">
        <v>895</v>
      </c>
      <c r="I316" s="7" t="s">
        <v>961</v>
      </c>
      <c r="J316">
        <v>12</v>
      </c>
      <c r="K316" s="7" t="s">
        <v>30</v>
      </c>
      <c r="L316" s="7" t="s">
        <v>412</v>
      </c>
      <c r="M316" s="7" t="s">
        <v>413</v>
      </c>
      <c r="N316" s="7"/>
    </row>
    <row r="317" spans="1:14" hidden="1">
      <c r="A317" s="9" t="s">
        <v>334</v>
      </c>
      <c r="B317" t="str">
        <f>VLOOKUP(WH_Data[[#This Row],[Case Number]],Table2[[CaseNumber]:[Region__c]],1,FALSE)</f>
        <v>18594971</v>
      </c>
      <c r="C317" s="7" t="s">
        <v>422</v>
      </c>
      <c r="D317" s="7" t="s">
        <v>936</v>
      </c>
      <c r="E317" s="7" t="s">
        <v>676</v>
      </c>
      <c r="F317" s="7" t="s">
        <v>11</v>
      </c>
      <c r="G317" s="8">
        <v>45945.41133101852</v>
      </c>
      <c r="H317" s="7" t="s">
        <v>410</v>
      </c>
      <c r="I317" s="7" t="s">
        <v>962</v>
      </c>
      <c r="J317">
        <v>8</v>
      </c>
      <c r="K317" s="7" t="s">
        <v>30</v>
      </c>
      <c r="L317" s="7" t="s">
        <v>412</v>
      </c>
      <c r="M317" s="7" t="s">
        <v>413</v>
      </c>
      <c r="N317" s="7"/>
    </row>
    <row r="318" spans="1:14" hidden="1">
      <c r="A318" s="9" t="s">
        <v>335</v>
      </c>
      <c r="B318" t="str">
        <f>VLOOKUP(WH_Data[[#This Row],[Case Number]],Table2[[CaseNumber]:[Region__c]],1,FALSE)</f>
        <v>18595215</v>
      </c>
      <c r="C318" s="7" t="s">
        <v>422</v>
      </c>
      <c r="D318" s="7" t="s">
        <v>936</v>
      </c>
      <c r="E318" s="7" t="s">
        <v>433</v>
      </c>
      <c r="F318" s="7" t="s">
        <v>11</v>
      </c>
      <c r="G318" s="8">
        <v>45944.581030092595</v>
      </c>
      <c r="H318" s="7" t="s">
        <v>410</v>
      </c>
      <c r="I318" s="7" t="s">
        <v>963</v>
      </c>
      <c r="J318">
        <v>12</v>
      </c>
      <c r="K318" s="7" t="s">
        <v>30</v>
      </c>
      <c r="L318" s="7" t="s">
        <v>412</v>
      </c>
      <c r="M318" s="7" t="s">
        <v>413</v>
      </c>
      <c r="N318" s="7"/>
    </row>
    <row r="319" spans="1:14" hidden="1">
      <c r="A319" s="9" t="s">
        <v>336</v>
      </c>
      <c r="B319" t="str">
        <f>VLOOKUP(WH_Data[[#This Row],[Case Number]],Table2[[CaseNumber]:[Region__c]],1,FALSE)</f>
        <v>18595469</v>
      </c>
      <c r="C319" s="7" t="s">
        <v>422</v>
      </c>
      <c r="D319" s="7" t="s">
        <v>936</v>
      </c>
      <c r="E319" s="7" t="s">
        <v>476</v>
      </c>
      <c r="F319" s="7" t="s">
        <v>11</v>
      </c>
      <c r="G319" s="8">
        <v>45940.646666666667</v>
      </c>
      <c r="H319" s="7" t="s">
        <v>410</v>
      </c>
      <c r="I319" s="7" t="s">
        <v>964</v>
      </c>
      <c r="J319">
        <v>4</v>
      </c>
      <c r="K319" s="7" t="s">
        <v>30</v>
      </c>
      <c r="L319" s="7" t="s">
        <v>412</v>
      </c>
      <c r="M319" s="7" t="s">
        <v>413</v>
      </c>
      <c r="N319" s="7"/>
    </row>
    <row r="320" spans="1:14" hidden="1">
      <c r="A320" s="9" t="s">
        <v>337</v>
      </c>
      <c r="B320" t="str">
        <f>VLOOKUP(WH_Data[[#This Row],[Case Number]],Table2[[CaseNumber]:[Region__c]],1,FALSE)</f>
        <v>18597208</v>
      </c>
      <c r="C320" s="7" t="s">
        <v>407</v>
      </c>
      <c r="D320" s="7" t="s">
        <v>632</v>
      </c>
      <c r="E320" s="7" t="s">
        <v>440</v>
      </c>
      <c r="F320" s="7" t="s">
        <v>19</v>
      </c>
      <c r="G320" s="8">
        <v>45924.635983796295</v>
      </c>
      <c r="H320" s="7" t="s">
        <v>410</v>
      </c>
      <c r="I320" s="7" t="s">
        <v>965</v>
      </c>
      <c r="J320">
        <v>5</v>
      </c>
      <c r="K320" s="7" t="s">
        <v>30</v>
      </c>
      <c r="L320" s="7" t="s">
        <v>412</v>
      </c>
      <c r="M320" s="7" t="s">
        <v>413</v>
      </c>
      <c r="N320" s="7"/>
    </row>
    <row r="321" spans="1:14" hidden="1">
      <c r="A321" s="9" t="s">
        <v>338</v>
      </c>
      <c r="B321" t="str">
        <f>VLOOKUP(WH_Data[[#This Row],[Case Number]],Table2[[CaseNumber]:[Region__c]],1,FALSE)</f>
        <v>18607382</v>
      </c>
      <c r="C321" s="7" t="s">
        <v>414</v>
      </c>
      <c r="D321" s="7" t="s">
        <v>608</v>
      </c>
      <c r="E321" s="7" t="s">
        <v>477</v>
      </c>
      <c r="F321" s="7" t="s">
        <v>11</v>
      </c>
      <c r="G321" s="8">
        <v>45937.726215277777</v>
      </c>
      <c r="H321" s="7" t="s">
        <v>940</v>
      </c>
      <c r="I321" s="7" t="s">
        <v>966</v>
      </c>
      <c r="J321">
        <v>8</v>
      </c>
      <c r="K321" s="7" t="s">
        <v>30</v>
      </c>
      <c r="L321" s="7" t="s">
        <v>412</v>
      </c>
      <c r="M321" s="7" t="s">
        <v>413</v>
      </c>
      <c r="N321" s="7"/>
    </row>
    <row r="322" spans="1:14" hidden="1">
      <c r="A322" s="9" t="s">
        <v>339</v>
      </c>
      <c r="B322" t="str">
        <f>VLOOKUP(WH_Data[[#This Row],[Case Number]],Table2[[CaseNumber]:[Region__c]],1,FALSE)</f>
        <v>18608452</v>
      </c>
      <c r="C322" s="7" t="s">
        <v>414</v>
      </c>
      <c r="D322" s="7" t="s">
        <v>608</v>
      </c>
      <c r="E322" s="7" t="s">
        <v>662</v>
      </c>
      <c r="F322" s="7" t="s">
        <v>11</v>
      </c>
      <c r="G322" s="8">
        <v>45939.232303240744</v>
      </c>
      <c r="H322" s="7" t="s">
        <v>940</v>
      </c>
      <c r="I322" s="7" t="s">
        <v>967</v>
      </c>
      <c r="J322">
        <v>10</v>
      </c>
      <c r="K322" s="7" t="s">
        <v>30</v>
      </c>
      <c r="L322" s="7" t="s">
        <v>412</v>
      </c>
      <c r="M322" s="7" t="s">
        <v>413</v>
      </c>
      <c r="N322" s="7"/>
    </row>
    <row r="323" spans="1:14" hidden="1">
      <c r="A323" s="9" t="s">
        <v>340</v>
      </c>
      <c r="B323" t="str">
        <f>VLOOKUP(WH_Data[[#This Row],[Case Number]],Table2[[CaseNumber]:[Region__c]],1,FALSE)</f>
        <v>18609329</v>
      </c>
      <c r="C323" s="7" t="s">
        <v>414</v>
      </c>
      <c r="D323" s="7" t="s">
        <v>430</v>
      </c>
      <c r="E323" s="7" t="s">
        <v>446</v>
      </c>
      <c r="F323" s="7" t="s">
        <v>11</v>
      </c>
      <c r="G323" s="8">
        <v>45922.279108796298</v>
      </c>
      <c r="H323" s="7" t="s">
        <v>410</v>
      </c>
      <c r="I323" s="7" t="s">
        <v>968</v>
      </c>
      <c r="J323">
        <v>7</v>
      </c>
      <c r="K323" s="7" t="s">
        <v>30</v>
      </c>
      <c r="L323" s="7" t="s">
        <v>412</v>
      </c>
      <c r="M323" s="7" t="s">
        <v>413</v>
      </c>
      <c r="N323" s="7"/>
    </row>
    <row r="324" spans="1:14" hidden="1">
      <c r="A324" s="9" t="s">
        <v>341</v>
      </c>
      <c r="B324" t="str">
        <f>VLOOKUP(WH_Data[[#This Row],[Case Number]],Table2[[CaseNumber]:[Region__c]],1,FALSE)</f>
        <v>18619252</v>
      </c>
      <c r="C324" s="7" t="s">
        <v>414</v>
      </c>
      <c r="D324" s="7" t="s">
        <v>423</v>
      </c>
      <c r="E324" s="7" t="s">
        <v>448</v>
      </c>
      <c r="F324" s="7" t="s">
        <v>11</v>
      </c>
      <c r="G324" s="8">
        <v>45944.317013888889</v>
      </c>
      <c r="H324" s="7" t="s">
        <v>410</v>
      </c>
      <c r="I324" s="7" t="s">
        <v>969</v>
      </c>
      <c r="J324">
        <v>12</v>
      </c>
      <c r="K324" s="7" t="s">
        <v>30</v>
      </c>
      <c r="L324" s="7" t="s">
        <v>412</v>
      </c>
      <c r="M324" s="7" t="s">
        <v>413</v>
      </c>
      <c r="N324" s="7"/>
    </row>
    <row r="325" spans="1:14" hidden="1">
      <c r="A325" s="9" t="s">
        <v>342</v>
      </c>
      <c r="B325" t="str">
        <f>VLOOKUP(WH_Data[[#This Row],[Case Number]],Table2[[CaseNumber]:[Region__c]],1,FALSE)</f>
        <v>18620902</v>
      </c>
      <c r="C325" s="7" t="s">
        <v>407</v>
      </c>
      <c r="D325" s="7" t="s">
        <v>752</v>
      </c>
      <c r="E325" s="7" t="s">
        <v>640</v>
      </c>
      <c r="F325" s="7" t="s">
        <v>11</v>
      </c>
      <c r="G325" s="8">
        <v>45940.655381944445</v>
      </c>
      <c r="H325" s="7" t="s">
        <v>410</v>
      </c>
      <c r="I325" s="7" t="s">
        <v>970</v>
      </c>
      <c r="J325">
        <v>9</v>
      </c>
      <c r="K325" s="7" t="s">
        <v>30</v>
      </c>
      <c r="L325" s="7" t="s">
        <v>412</v>
      </c>
      <c r="M325" s="7" t="s">
        <v>413</v>
      </c>
      <c r="N325" s="7"/>
    </row>
    <row r="326" spans="1:14" hidden="1">
      <c r="A326" s="9" t="s">
        <v>343</v>
      </c>
      <c r="B326" t="str">
        <f>VLOOKUP(WH_Data[[#This Row],[Case Number]],Table2[[CaseNumber]:[Region__c]],1,FALSE)</f>
        <v>18628206</v>
      </c>
      <c r="C326" s="7" t="s">
        <v>422</v>
      </c>
      <c r="D326" s="7" t="s">
        <v>800</v>
      </c>
      <c r="E326" s="7" t="s">
        <v>514</v>
      </c>
      <c r="F326" s="7" t="s">
        <v>44</v>
      </c>
      <c r="G326" s="8">
        <v>45958.898275462961</v>
      </c>
      <c r="H326" s="7" t="s">
        <v>410</v>
      </c>
      <c r="I326" s="7" t="s">
        <v>971</v>
      </c>
      <c r="J326">
        <v>5</v>
      </c>
      <c r="K326" s="7" t="s">
        <v>30</v>
      </c>
      <c r="L326" s="7" t="s">
        <v>412</v>
      </c>
      <c r="M326" s="7" t="s">
        <v>413</v>
      </c>
      <c r="N326" s="7"/>
    </row>
    <row r="327" spans="1:14" hidden="1">
      <c r="A327" s="9" t="s">
        <v>344</v>
      </c>
      <c r="B327" t="str">
        <f>VLOOKUP(WH_Data[[#This Row],[Case Number]],Table2[[CaseNumber]:[Region__c]],1,FALSE)</f>
        <v>18634517</v>
      </c>
      <c r="C327" s="7" t="s">
        <v>422</v>
      </c>
      <c r="D327" s="7" t="s">
        <v>650</v>
      </c>
      <c r="E327" s="7" t="s">
        <v>972</v>
      </c>
      <c r="F327" s="7" t="s">
        <v>11</v>
      </c>
      <c r="G327" s="8">
        <v>45958.890196759261</v>
      </c>
      <c r="H327" s="7" t="s">
        <v>410</v>
      </c>
      <c r="I327" s="7" t="s">
        <v>973</v>
      </c>
      <c r="J327">
        <v>11</v>
      </c>
      <c r="K327" s="7" t="s">
        <v>30</v>
      </c>
      <c r="L327" s="7" t="s">
        <v>412</v>
      </c>
      <c r="M327" s="7" t="s">
        <v>413</v>
      </c>
      <c r="N327" s="7"/>
    </row>
    <row r="328" spans="1:14">
      <c r="A328" s="9" t="s">
        <v>1049</v>
      </c>
      <c r="B328" t="e">
        <f>VLOOKUP(WH_Data[[#This Row],[Case Number]],Table2[[CaseNumber]:[Region__c]],1,FALSE)</f>
        <v>#N/A</v>
      </c>
      <c r="C328" s="7" t="s">
        <v>414</v>
      </c>
      <c r="D328" s="7" t="s">
        <v>974</v>
      </c>
      <c r="E328" s="7" t="s">
        <v>676</v>
      </c>
      <c r="F328" s="7" t="s">
        <v>19</v>
      </c>
      <c r="G328" s="8">
        <v>45933.261307870373</v>
      </c>
      <c r="H328" s="7" t="s">
        <v>410</v>
      </c>
      <c r="I328" s="7" t="s">
        <v>975</v>
      </c>
      <c r="J328">
        <v>17</v>
      </c>
      <c r="K328" s="7" t="s">
        <v>30</v>
      </c>
      <c r="L328" s="7" t="s">
        <v>412</v>
      </c>
      <c r="M328" s="7" t="s">
        <v>413</v>
      </c>
      <c r="N328" s="7"/>
    </row>
    <row r="329" spans="1:14" hidden="1">
      <c r="A329" s="9" t="s">
        <v>345</v>
      </c>
      <c r="B329" t="str">
        <f>VLOOKUP(WH_Data[[#This Row],[Case Number]],Table2[[CaseNumber]:[Region__c]],1,FALSE)</f>
        <v>18637013</v>
      </c>
      <c r="C329" s="7" t="s">
        <v>414</v>
      </c>
      <c r="D329" s="7" t="s">
        <v>974</v>
      </c>
      <c r="E329" s="7" t="s">
        <v>976</v>
      </c>
      <c r="F329" s="7" t="s">
        <v>19</v>
      </c>
      <c r="G329" s="8">
        <v>45931.539826388886</v>
      </c>
      <c r="H329" s="7" t="s">
        <v>410</v>
      </c>
      <c r="I329" s="7" t="s">
        <v>977</v>
      </c>
      <c r="J329">
        <v>15</v>
      </c>
      <c r="K329" s="7" t="s">
        <v>30</v>
      </c>
      <c r="L329" s="7" t="s">
        <v>412</v>
      </c>
      <c r="M329" s="7" t="s">
        <v>413</v>
      </c>
      <c r="N329" s="7"/>
    </row>
    <row r="330" spans="1:14" hidden="1">
      <c r="A330" s="9" t="s">
        <v>346</v>
      </c>
      <c r="B330" t="str">
        <f>VLOOKUP(WH_Data[[#This Row],[Case Number]],Table2[[CaseNumber]:[Region__c]],1,FALSE)</f>
        <v>18641319</v>
      </c>
      <c r="C330" s="7" t="s">
        <v>414</v>
      </c>
      <c r="D330" s="7" t="s">
        <v>861</v>
      </c>
      <c r="E330" s="7" t="s">
        <v>651</v>
      </c>
      <c r="F330" s="7" t="s">
        <v>11</v>
      </c>
      <c r="G330" s="8">
        <v>45914.372094907405</v>
      </c>
      <c r="H330" s="7" t="s">
        <v>410</v>
      </c>
      <c r="I330" s="7" t="s">
        <v>978</v>
      </c>
      <c r="J330">
        <v>11</v>
      </c>
      <c r="K330" s="7" t="s">
        <v>30</v>
      </c>
      <c r="L330" s="7" t="s">
        <v>412</v>
      </c>
      <c r="M330" s="7" t="s">
        <v>413</v>
      </c>
      <c r="N330" s="7"/>
    </row>
    <row r="331" spans="1:14" hidden="1">
      <c r="A331" s="9" t="s">
        <v>347</v>
      </c>
      <c r="B331" t="str">
        <f>VLOOKUP(WH_Data[[#This Row],[Case Number]],Table2[[CaseNumber]:[Region__c]],1,FALSE)</f>
        <v>18645130</v>
      </c>
      <c r="C331" s="7" t="s">
        <v>407</v>
      </c>
      <c r="D331" s="7" t="s">
        <v>882</v>
      </c>
      <c r="E331" s="7" t="s">
        <v>573</v>
      </c>
      <c r="F331" s="7" t="s">
        <v>19</v>
      </c>
      <c r="G331" s="8">
        <v>45958.604490740741</v>
      </c>
      <c r="H331" s="7" t="s">
        <v>410</v>
      </c>
      <c r="I331" s="7" t="s">
        <v>979</v>
      </c>
      <c r="J331">
        <v>11</v>
      </c>
      <c r="K331" s="7" t="s">
        <v>30</v>
      </c>
      <c r="L331" s="7" t="s">
        <v>412</v>
      </c>
      <c r="M331" s="7" t="s">
        <v>413</v>
      </c>
      <c r="N331" s="7"/>
    </row>
    <row r="332" spans="1:14" hidden="1">
      <c r="A332" s="9" t="s">
        <v>348</v>
      </c>
      <c r="B332" t="str">
        <f>VLOOKUP(WH_Data[[#This Row],[Case Number]],Table2[[CaseNumber]:[Region__c]],1,FALSE)</f>
        <v>18645950</v>
      </c>
      <c r="C332" s="7" t="s">
        <v>422</v>
      </c>
      <c r="D332" s="7" t="s">
        <v>980</v>
      </c>
      <c r="E332" s="7" t="s">
        <v>453</v>
      </c>
      <c r="F332" s="7" t="s">
        <v>17</v>
      </c>
      <c r="G332" s="8">
        <v>45964.300821759258</v>
      </c>
      <c r="H332" s="7" t="s">
        <v>410</v>
      </c>
      <c r="I332" s="7" t="s">
        <v>981</v>
      </c>
      <c r="J332">
        <v>13</v>
      </c>
      <c r="K332" s="7" t="s">
        <v>30</v>
      </c>
      <c r="L332" s="7" t="s">
        <v>412</v>
      </c>
      <c r="M332" s="7" t="s">
        <v>413</v>
      </c>
      <c r="N332" s="7"/>
    </row>
    <row r="333" spans="1:14" hidden="1">
      <c r="A333" s="9" t="s">
        <v>349</v>
      </c>
      <c r="B333" t="str">
        <f>VLOOKUP(WH_Data[[#This Row],[Case Number]],Table2[[CaseNumber]:[Region__c]],1,FALSE)</f>
        <v>18648630</v>
      </c>
      <c r="C333" s="7" t="s">
        <v>414</v>
      </c>
      <c r="D333" s="7" t="s">
        <v>518</v>
      </c>
      <c r="E333" s="7" t="s">
        <v>433</v>
      </c>
      <c r="F333" s="7" t="s">
        <v>17</v>
      </c>
      <c r="G333" s="8">
        <v>45909.243472222224</v>
      </c>
      <c r="H333" s="7" t="s">
        <v>410</v>
      </c>
      <c r="I333" s="7" t="s">
        <v>982</v>
      </c>
      <c r="J333">
        <v>14</v>
      </c>
      <c r="K333" s="7" t="s">
        <v>30</v>
      </c>
      <c r="L333" s="7" t="s">
        <v>412</v>
      </c>
      <c r="M333" s="7" t="s">
        <v>413</v>
      </c>
      <c r="N333" s="7"/>
    </row>
    <row r="334" spans="1:14" hidden="1">
      <c r="A334" s="9" t="s">
        <v>350</v>
      </c>
      <c r="B334" t="str">
        <f>VLOOKUP(WH_Data[[#This Row],[Case Number]],Table2[[CaseNumber]:[Region__c]],1,FALSE)</f>
        <v>18652713</v>
      </c>
      <c r="C334" s="7" t="s">
        <v>422</v>
      </c>
      <c r="D334" s="7" t="s">
        <v>650</v>
      </c>
      <c r="E334" s="7" t="s">
        <v>972</v>
      </c>
      <c r="F334" s="7" t="s">
        <v>19</v>
      </c>
      <c r="G334" s="8">
        <v>45961.436400462961</v>
      </c>
      <c r="H334" s="7" t="s">
        <v>410</v>
      </c>
      <c r="I334" s="7" t="s">
        <v>983</v>
      </c>
      <c r="J334">
        <v>14</v>
      </c>
      <c r="K334" s="7" t="s">
        <v>30</v>
      </c>
      <c r="L334" s="7" t="s">
        <v>412</v>
      </c>
      <c r="M334" s="7" t="s">
        <v>413</v>
      </c>
      <c r="N334" s="7"/>
    </row>
    <row r="335" spans="1:14" hidden="1">
      <c r="A335" s="9" t="s">
        <v>351</v>
      </c>
      <c r="B335" t="str">
        <f>VLOOKUP(WH_Data[[#This Row],[Case Number]],Table2[[CaseNumber]:[Region__c]],1,FALSE)</f>
        <v>18662529</v>
      </c>
      <c r="C335" s="7" t="s">
        <v>407</v>
      </c>
      <c r="D335" s="7" t="s">
        <v>984</v>
      </c>
      <c r="E335" s="7" t="s">
        <v>855</v>
      </c>
      <c r="F335" s="7" t="s">
        <v>46</v>
      </c>
      <c r="G335" s="8">
        <v>45937.646203703705</v>
      </c>
      <c r="H335" s="7" t="s">
        <v>410</v>
      </c>
      <c r="I335" s="7" t="s">
        <v>985</v>
      </c>
      <c r="J335">
        <v>8</v>
      </c>
      <c r="K335" s="7" t="s">
        <v>30</v>
      </c>
      <c r="L335" s="7" t="s">
        <v>412</v>
      </c>
      <c r="M335" s="7" t="s">
        <v>413</v>
      </c>
      <c r="N335" s="7"/>
    </row>
    <row r="336" spans="1:14" hidden="1">
      <c r="A336" s="9" t="s">
        <v>352</v>
      </c>
      <c r="B336" t="str">
        <f>VLOOKUP(WH_Data[[#This Row],[Case Number]],Table2[[CaseNumber]:[Region__c]],1,FALSE)</f>
        <v>18662919</v>
      </c>
      <c r="C336" s="7" t="s">
        <v>407</v>
      </c>
      <c r="D336" s="7" t="s">
        <v>986</v>
      </c>
      <c r="E336" s="7" t="s">
        <v>474</v>
      </c>
      <c r="F336" s="7" t="s">
        <v>46</v>
      </c>
      <c r="G336" s="8">
        <v>45982.630347222221</v>
      </c>
      <c r="H336" s="7" t="s">
        <v>987</v>
      </c>
      <c r="I336" s="7" t="s">
        <v>988</v>
      </c>
      <c r="J336">
        <v>8</v>
      </c>
      <c r="K336" s="7" t="s">
        <v>30</v>
      </c>
      <c r="L336" s="7" t="s">
        <v>412</v>
      </c>
      <c r="M336" s="7" t="s">
        <v>413</v>
      </c>
      <c r="N336" s="7"/>
    </row>
    <row r="337" spans="1:14" hidden="1">
      <c r="A337" s="9" t="s">
        <v>353</v>
      </c>
      <c r="B337" t="str">
        <f>VLOOKUP(WH_Data[[#This Row],[Case Number]],Table2[[CaseNumber]:[Region__c]],1,FALSE)</f>
        <v>18666598</v>
      </c>
      <c r="C337" s="7" t="s">
        <v>407</v>
      </c>
      <c r="D337" s="7" t="s">
        <v>986</v>
      </c>
      <c r="E337" s="7" t="s">
        <v>484</v>
      </c>
      <c r="F337" s="7" t="s">
        <v>46</v>
      </c>
      <c r="G337" s="8">
        <v>45982.628240740742</v>
      </c>
      <c r="H337" s="7" t="s">
        <v>410</v>
      </c>
      <c r="I337" s="7" t="s">
        <v>987</v>
      </c>
      <c r="J337">
        <v>8</v>
      </c>
      <c r="K337" s="7" t="s">
        <v>30</v>
      </c>
      <c r="L337" s="7" t="s">
        <v>412</v>
      </c>
      <c r="M337" s="7" t="s">
        <v>413</v>
      </c>
      <c r="N337" s="7"/>
    </row>
    <row r="338" spans="1:14" hidden="1">
      <c r="A338" s="9" t="s">
        <v>354</v>
      </c>
      <c r="B338" t="str">
        <f>VLOOKUP(WH_Data[[#This Row],[Case Number]],Table2[[CaseNumber]:[Region__c]],1,FALSE)</f>
        <v>18681626</v>
      </c>
      <c r="C338" s="7" t="s">
        <v>407</v>
      </c>
      <c r="D338" s="7" t="s">
        <v>518</v>
      </c>
      <c r="E338" s="7" t="s">
        <v>424</v>
      </c>
      <c r="F338" s="7" t="s">
        <v>17</v>
      </c>
      <c r="G338" s="8">
        <v>45981.403460648151</v>
      </c>
      <c r="H338" s="7" t="s">
        <v>410</v>
      </c>
      <c r="I338" s="7" t="s">
        <v>989</v>
      </c>
      <c r="J338">
        <v>15</v>
      </c>
      <c r="K338" s="7" t="s">
        <v>30</v>
      </c>
      <c r="L338" s="7" t="s">
        <v>412</v>
      </c>
      <c r="M338" s="7" t="s">
        <v>413</v>
      </c>
      <c r="N338" s="7"/>
    </row>
    <row r="339" spans="1:14" hidden="1">
      <c r="A339" s="9" t="s">
        <v>355</v>
      </c>
      <c r="B339" t="str">
        <f>VLOOKUP(WH_Data[[#This Row],[Case Number]],Table2[[CaseNumber]:[Region__c]],1,FALSE)</f>
        <v>18683231</v>
      </c>
      <c r="C339" s="7" t="s">
        <v>414</v>
      </c>
      <c r="D339" s="7" t="s">
        <v>787</v>
      </c>
      <c r="E339" s="7" t="s">
        <v>760</v>
      </c>
      <c r="F339" s="7" t="s">
        <v>11</v>
      </c>
      <c r="G339" s="8">
        <v>45954.255439814813</v>
      </c>
      <c r="H339" s="7" t="s">
        <v>410</v>
      </c>
      <c r="I339" s="7" t="s">
        <v>990</v>
      </c>
      <c r="J339">
        <v>2</v>
      </c>
      <c r="K339" s="7" t="s">
        <v>30</v>
      </c>
      <c r="L339" s="7" t="s">
        <v>412</v>
      </c>
      <c r="M339" s="7" t="s">
        <v>413</v>
      </c>
      <c r="N339" s="7"/>
    </row>
    <row r="340" spans="1:14" hidden="1">
      <c r="A340" s="9" t="s">
        <v>356</v>
      </c>
      <c r="B340" t="str">
        <f>VLOOKUP(WH_Data[[#This Row],[Case Number]],Table2[[CaseNumber]:[Region__c]],1,FALSE)</f>
        <v>18686523</v>
      </c>
      <c r="C340" s="7" t="s">
        <v>407</v>
      </c>
      <c r="D340" s="7" t="s">
        <v>518</v>
      </c>
      <c r="E340" s="7" t="s">
        <v>616</v>
      </c>
      <c r="F340" s="7" t="s">
        <v>17</v>
      </c>
      <c r="G340" s="8">
        <v>45944.455636574072</v>
      </c>
      <c r="H340" s="7" t="s">
        <v>410</v>
      </c>
      <c r="I340" s="7" t="s">
        <v>991</v>
      </c>
      <c r="J340">
        <v>11</v>
      </c>
      <c r="K340" s="7" t="s">
        <v>30</v>
      </c>
      <c r="L340" s="7" t="s">
        <v>412</v>
      </c>
      <c r="M340" s="7" t="s">
        <v>413</v>
      </c>
      <c r="N340" s="7"/>
    </row>
    <row r="341" spans="1:14" hidden="1">
      <c r="A341" s="9" t="s">
        <v>357</v>
      </c>
      <c r="B341" t="str">
        <f>VLOOKUP(WH_Data[[#This Row],[Case Number]],Table2[[CaseNumber]:[Region__c]],1,FALSE)</f>
        <v>18694842</v>
      </c>
      <c r="C341" s="7" t="s">
        <v>407</v>
      </c>
      <c r="D341" s="7" t="s">
        <v>518</v>
      </c>
      <c r="E341" s="7" t="s">
        <v>992</v>
      </c>
      <c r="F341" s="7" t="s">
        <v>17</v>
      </c>
      <c r="G341" s="8">
        <v>45945.42701388889</v>
      </c>
      <c r="H341" s="7" t="s">
        <v>410</v>
      </c>
      <c r="I341" s="7" t="s">
        <v>993</v>
      </c>
      <c r="J341">
        <v>12</v>
      </c>
      <c r="K341" s="7" t="s">
        <v>30</v>
      </c>
      <c r="L341" s="7" t="s">
        <v>412</v>
      </c>
      <c r="M341" s="7" t="s">
        <v>413</v>
      </c>
      <c r="N341" s="7"/>
    </row>
    <row r="342" spans="1:14" hidden="1">
      <c r="A342" s="9" t="s">
        <v>358</v>
      </c>
      <c r="B342" t="str">
        <f>VLOOKUP(WH_Data[[#This Row],[Case Number]],Table2[[CaseNumber]:[Region__c]],1,FALSE)</f>
        <v>18705452</v>
      </c>
      <c r="C342" s="7" t="s">
        <v>407</v>
      </c>
      <c r="D342" s="7" t="s">
        <v>790</v>
      </c>
      <c r="E342" s="7" t="s">
        <v>481</v>
      </c>
      <c r="F342" s="7" t="s">
        <v>17</v>
      </c>
      <c r="G342" s="8">
        <v>45944.466203703705</v>
      </c>
      <c r="H342" s="7" t="s">
        <v>410</v>
      </c>
      <c r="I342" s="7" t="s">
        <v>994</v>
      </c>
      <c r="J342">
        <v>12</v>
      </c>
      <c r="K342" s="7" t="s">
        <v>30</v>
      </c>
      <c r="L342" s="7" t="s">
        <v>412</v>
      </c>
      <c r="M342" s="7" t="s">
        <v>413</v>
      </c>
      <c r="N342" s="7"/>
    </row>
    <row r="343" spans="1:14" hidden="1">
      <c r="A343" s="9" t="s">
        <v>359</v>
      </c>
      <c r="B343" t="str">
        <f>VLOOKUP(WH_Data[[#This Row],[Case Number]],Table2[[CaseNumber]:[Region__c]],1,FALSE)</f>
        <v>18705908</v>
      </c>
      <c r="C343" s="7" t="s">
        <v>414</v>
      </c>
      <c r="D343" s="7" t="s">
        <v>995</v>
      </c>
      <c r="E343" s="7" t="s">
        <v>734</v>
      </c>
      <c r="F343" s="7" t="s">
        <v>17</v>
      </c>
      <c r="G343" s="8">
        <v>45938.307106481479</v>
      </c>
      <c r="H343" s="7" t="s">
        <v>996</v>
      </c>
      <c r="I343" s="7" t="s">
        <v>997</v>
      </c>
      <c r="J343">
        <v>7</v>
      </c>
      <c r="K343" s="7" t="s">
        <v>30</v>
      </c>
      <c r="L343" s="7" t="s">
        <v>412</v>
      </c>
      <c r="M343" s="7" t="s">
        <v>413</v>
      </c>
      <c r="N343" s="7"/>
    </row>
    <row r="344" spans="1:14" hidden="1">
      <c r="A344" s="9" t="s">
        <v>360</v>
      </c>
      <c r="B344" t="str">
        <f>VLOOKUP(WH_Data[[#This Row],[Case Number]],Table2[[CaseNumber]:[Region__c]],1,FALSE)</f>
        <v>18718331</v>
      </c>
      <c r="C344" s="7" t="s">
        <v>414</v>
      </c>
      <c r="D344" s="7" t="s">
        <v>432</v>
      </c>
      <c r="E344" s="7" t="s">
        <v>739</v>
      </c>
      <c r="F344" s="7" t="s">
        <v>17</v>
      </c>
      <c r="G344" s="8">
        <v>45945.330949074072</v>
      </c>
      <c r="H344" s="7" t="s">
        <v>410</v>
      </c>
      <c r="I344" s="7" t="s">
        <v>998</v>
      </c>
      <c r="J344">
        <v>8</v>
      </c>
      <c r="K344" s="7" t="s">
        <v>30</v>
      </c>
      <c r="L344" s="7" t="s">
        <v>412</v>
      </c>
      <c r="M344" s="7" t="s">
        <v>413</v>
      </c>
      <c r="N344" s="7"/>
    </row>
    <row r="345" spans="1:14" hidden="1">
      <c r="A345" s="9" t="s">
        <v>361</v>
      </c>
      <c r="B345" t="str">
        <f>VLOOKUP(WH_Data[[#This Row],[Case Number]],Table2[[CaseNumber]:[Region__c]],1,FALSE)</f>
        <v>18723594</v>
      </c>
      <c r="C345" s="7" t="s">
        <v>422</v>
      </c>
      <c r="D345" s="7" t="s">
        <v>598</v>
      </c>
      <c r="E345" s="7" t="s">
        <v>509</v>
      </c>
      <c r="F345" s="7" t="s">
        <v>11</v>
      </c>
      <c r="G345" s="8">
        <v>45954.764502314814</v>
      </c>
      <c r="H345" s="7" t="s">
        <v>410</v>
      </c>
      <c r="I345" s="7" t="s">
        <v>999</v>
      </c>
      <c r="J345">
        <v>7</v>
      </c>
      <c r="K345" s="7" t="s">
        <v>30</v>
      </c>
      <c r="L345" s="7" t="s">
        <v>412</v>
      </c>
      <c r="M345" s="7" t="s">
        <v>413</v>
      </c>
      <c r="N345" s="7"/>
    </row>
    <row r="346" spans="1:14" hidden="1">
      <c r="A346" s="9" t="s">
        <v>363</v>
      </c>
      <c r="B346" t="str">
        <f>VLOOKUP(WH_Data[[#This Row],[Case Number]],Table2[[CaseNumber]:[Region__c]],1,FALSE)</f>
        <v>18734078</v>
      </c>
      <c r="C346" s="7" t="s">
        <v>422</v>
      </c>
      <c r="D346" s="7" t="s">
        <v>821</v>
      </c>
      <c r="E346" s="7" t="s">
        <v>453</v>
      </c>
      <c r="F346" s="7" t="s">
        <v>19</v>
      </c>
      <c r="G346" s="8">
        <v>45986.606747685182</v>
      </c>
      <c r="H346" s="7" t="s">
        <v>410</v>
      </c>
      <c r="I346" s="7" t="s">
        <v>1000</v>
      </c>
      <c r="J346">
        <v>14</v>
      </c>
      <c r="K346" s="7" t="s">
        <v>30</v>
      </c>
      <c r="L346" s="7" t="s">
        <v>412</v>
      </c>
      <c r="M346" s="7" t="s">
        <v>413</v>
      </c>
      <c r="N346" s="7"/>
    </row>
    <row r="347" spans="1:14" hidden="1">
      <c r="A347" s="9" t="s">
        <v>364</v>
      </c>
      <c r="B347" t="str">
        <f>VLOOKUP(WH_Data[[#This Row],[Case Number]],Table2[[CaseNumber]:[Region__c]],1,FALSE)</f>
        <v>18735939</v>
      </c>
      <c r="C347" s="7" t="s">
        <v>422</v>
      </c>
      <c r="D347" s="7" t="s">
        <v>980</v>
      </c>
      <c r="E347" s="7" t="s">
        <v>588</v>
      </c>
      <c r="F347" s="7" t="s">
        <v>17</v>
      </c>
      <c r="G347" s="8">
        <v>45957.324317129627</v>
      </c>
      <c r="H347" s="7" t="s">
        <v>410</v>
      </c>
      <c r="I347" s="7" t="s">
        <v>1001</v>
      </c>
      <c r="J347">
        <v>5</v>
      </c>
      <c r="K347" s="7" t="s">
        <v>30</v>
      </c>
      <c r="L347" s="7" t="s">
        <v>412</v>
      </c>
      <c r="M347" s="7" t="s">
        <v>413</v>
      </c>
      <c r="N347" s="7"/>
    </row>
    <row r="348" spans="1:14" hidden="1">
      <c r="A348" s="9" t="s">
        <v>365</v>
      </c>
      <c r="B348" t="str">
        <f>VLOOKUP(WH_Data[[#This Row],[Case Number]],Table2[[CaseNumber]:[Region__c]],1,FALSE)</f>
        <v>18738937</v>
      </c>
      <c r="C348" s="7" t="s">
        <v>414</v>
      </c>
      <c r="D348" s="7" t="s">
        <v>995</v>
      </c>
      <c r="E348" s="7" t="s">
        <v>588</v>
      </c>
      <c r="F348" s="7" t="s">
        <v>17</v>
      </c>
      <c r="G348" s="8">
        <v>45987.322384259256</v>
      </c>
      <c r="H348" s="7" t="s">
        <v>996</v>
      </c>
      <c r="I348" s="7" t="s">
        <v>1002</v>
      </c>
      <c r="J348">
        <v>8</v>
      </c>
      <c r="K348" s="7" t="s">
        <v>30</v>
      </c>
      <c r="L348" s="7" t="s">
        <v>412</v>
      </c>
      <c r="M348" s="7" t="s">
        <v>413</v>
      </c>
      <c r="N348" s="7"/>
    </row>
    <row r="349" spans="1:14" hidden="1">
      <c r="A349" s="9" t="s">
        <v>366</v>
      </c>
      <c r="B349" t="str">
        <f>VLOOKUP(WH_Data[[#This Row],[Case Number]],Table2[[CaseNumber]:[Region__c]],1,FALSE)</f>
        <v>18738952</v>
      </c>
      <c r="C349" s="7" t="s">
        <v>414</v>
      </c>
      <c r="D349" s="7" t="s">
        <v>995</v>
      </c>
      <c r="E349" s="7" t="s">
        <v>676</v>
      </c>
      <c r="F349" s="7" t="s">
        <v>17</v>
      </c>
      <c r="G349" s="8">
        <v>45987.322048611109</v>
      </c>
      <c r="H349" s="7" t="s">
        <v>996</v>
      </c>
      <c r="I349" s="7" t="s">
        <v>1003</v>
      </c>
      <c r="J349">
        <v>8</v>
      </c>
      <c r="K349" s="7" t="s">
        <v>30</v>
      </c>
      <c r="L349" s="7" t="s">
        <v>412</v>
      </c>
      <c r="M349" s="7" t="s">
        <v>413</v>
      </c>
      <c r="N349" s="7"/>
    </row>
    <row r="350" spans="1:14" hidden="1">
      <c r="A350" s="9" t="s">
        <v>367</v>
      </c>
      <c r="B350" t="str">
        <f>VLOOKUP(WH_Data[[#This Row],[Case Number]],Table2[[CaseNumber]:[Region__c]],1,FALSE)</f>
        <v>18738962</v>
      </c>
      <c r="C350" s="7" t="s">
        <v>414</v>
      </c>
      <c r="D350" s="7" t="s">
        <v>995</v>
      </c>
      <c r="E350" s="7" t="s">
        <v>714</v>
      </c>
      <c r="F350" s="7" t="s">
        <v>17</v>
      </c>
      <c r="G350" s="8">
        <v>45987.322210648148</v>
      </c>
      <c r="H350" s="7" t="s">
        <v>996</v>
      </c>
      <c r="I350" s="7" t="s">
        <v>1004</v>
      </c>
      <c r="J350">
        <v>8</v>
      </c>
      <c r="K350" s="7" t="s">
        <v>30</v>
      </c>
      <c r="L350" s="7" t="s">
        <v>412</v>
      </c>
      <c r="M350" s="7" t="s">
        <v>413</v>
      </c>
      <c r="N350" s="7"/>
    </row>
    <row r="351" spans="1:14" hidden="1">
      <c r="A351" s="9" t="s">
        <v>368</v>
      </c>
      <c r="B351" t="str">
        <f>VLOOKUP(WH_Data[[#This Row],[Case Number]],Table2[[CaseNumber]:[Region__c]],1,FALSE)</f>
        <v>18745721</v>
      </c>
      <c r="C351" s="7" t="s">
        <v>407</v>
      </c>
      <c r="D351" s="7" t="s">
        <v>986</v>
      </c>
      <c r="E351" s="7" t="s">
        <v>463</v>
      </c>
      <c r="F351" s="7" t="s">
        <v>46</v>
      </c>
      <c r="G351" s="8">
        <v>45982.6330787037</v>
      </c>
      <c r="H351" s="7" t="s">
        <v>987</v>
      </c>
      <c r="I351" s="7" t="s">
        <v>1005</v>
      </c>
      <c r="J351">
        <v>8</v>
      </c>
      <c r="K351" s="7" t="s">
        <v>30</v>
      </c>
      <c r="L351" s="7" t="s">
        <v>412</v>
      </c>
      <c r="M351" s="7" t="s">
        <v>413</v>
      </c>
      <c r="N351" s="7"/>
    </row>
    <row r="352" spans="1:14" hidden="1">
      <c r="A352" s="9" t="s">
        <v>369</v>
      </c>
      <c r="B352" t="str">
        <f>VLOOKUP(WH_Data[[#This Row],[Case Number]],Table2[[CaseNumber]:[Region__c]],1,FALSE)</f>
        <v>18745843</v>
      </c>
      <c r="C352" s="7" t="s">
        <v>407</v>
      </c>
      <c r="D352" s="7" t="s">
        <v>986</v>
      </c>
      <c r="E352" s="7" t="s">
        <v>496</v>
      </c>
      <c r="F352" s="7" t="s">
        <v>46</v>
      </c>
      <c r="G352" s="8">
        <v>45982.637696759259</v>
      </c>
      <c r="H352" s="7" t="s">
        <v>987</v>
      </c>
      <c r="I352" s="7" t="s">
        <v>1006</v>
      </c>
      <c r="J352">
        <v>8</v>
      </c>
      <c r="K352" s="7" t="s">
        <v>30</v>
      </c>
      <c r="L352" s="7" t="s">
        <v>412</v>
      </c>
      <c r="M352" s="7" t="s">
        <v>413</v>
      </c>
      <c r="N352" s="7"/>
    </row>
    <row r="353" spans="1:14" hidden="1">
      <c r="A353" s="9" t="s">
        <v>370</v>
      </c>
      <c r="B353" t="str">
        <f>VLOOKUP(WH_Data[[#This Row],[Case Number]],Table2[[CaseNumber]:[Region__c]],1,FALSE)</f>
        <v>18745880</v>
      </c>
      <c r="C353" s="7" t="s">
        <v>407</v>
      </c>
      <c r="D353" s="7" t="s">
        <v>986</v>
      </c>
      <c r="E353" s="7" t="s">
        <v>476</v>
      </c>
      <c r="F353" s="7" t="s">
        <v>46</v>
      </c>
      <c r="G353" s="8">
        <v>45982.636504629627</v>
      </c>
      <c r="H353" s="7" t="s">
        <v>987</v>
      </c>
      <c r="I353" s="7" t="s">
        <v>1007</v>
      </c>
      <c r="J353">
        <v>8</v>
      </c>
      <c r="K353" s="7" t="s">
        <v>30</v>
      </c>
      <c r="L353" s="7" t="s">
        <v>412</v>
      </c>
      <c r="M353" s="7" t="s">
        <v>413</v>
      </c>
      <c r="N353" s="7"/>
    </row>
    <row r="354" spans="1:14" hidden="1">
      <c r="A354" s="9" t="s">
        <v>371</v>
      </c>
      <c r="B354" t="str">
        <f>VLOOKUP(WH_Data[[#This Row],[Case Number]],Table2[[CaseNumber]:[Region__c]],1,FALSE)</f>
        <v>18745926</v>
      </c>
      <c r="C354" s="7" t="s">
        <v>407</v>
      </c>
      <c r="D354" s="7" t="s">
        <v>986</v>
      </c>
      <c r="E354" s="7" t="s">
        <v>526</v>
      </c>
      <c r="F354" s="7" t="s">
        <v>46</v>
      </c>
      <c r="G354" s="8">
        <v>45982.638680555552</v>
      </c>
      <c r="H354" s="7" t="s">
        <v>987</v>
      </c>
      <c r="I354" s="7" t="s">
        <v>1008</v>
      </c>
      <c r="J354">
        <v>8</v>
      </c>
      <c r="K354" s="7" t="s">
        <v>30</v>
      </c>
      <c r="L354" s="7" t="s">
        <v>412</v>
      </c>
      <c r="M354" s="7" t="s">
        <v>413</v>
      </c>
      <c r="N354" s="7"/>
    </row>
    <row r="355" spans="1:14" hidden="1">
      <c r="A355" s="9" t="s">
        <v>372</v>
      </c>
      <c r="B355" t="str">
        <f>VLOOKUP(WH_Data[[#This Row],[Case Number]],Table2[[CaseNumber]:[Region__c]],1,FALSE)</f>
        <v>18748092</v>
      </c>
      <c r="C355" s="7" t="s">
        <v>407</v>
      </c>
      <c r="D355" s="7" t="s">
        <v>736</v>
      </c>
      <c r="E355" s="7" t="s">
        <v>678</v>
      </c>
      <c r="F355" s="7" t="s">
        <v>15</v>
      </c>
      <c r="G355" s="8">
        <v>45982.607199074075</v>
      </c>
      <c r="H355" s="7" t="s">
        <v>410</v>
      </c>
      <c r="I355" s="7" t="s">
        <v>1009</v>
      </c>
      <c r="J355">
        <v>7</v>
      </c>
      <c r="K355" s="7" t="s">
        <v>30</v>
      </c>
      <c r="L355" s="7" t="s">
        <v>412</v>
      </c>
      <c r="M355" s="7" t="s">
        <v>413</v>
      </c>
      <c r="N355" s="7"/>
    </row>
    <row r="356" spans="1:14" hidden="1">
      <c r="A356" s="9" t="s">
        <v>373</v>
      </c>
      <c r="B356" t="str">
        <f>VLOOKUP(WH_Data[[#This Row],[Case Number]],Table2[[CaseNumber]:[Region__c]],1,FALSE)</f>
        <v>18767759</v>
      </c>
      <c r="C356" s="7" t="s">
        <v>407</v>
      </c>
      <c r="D356" s="7" t="s">
        <v>1010</v>
      </c>
      <c r="E356" s="7" t="s">
        <v>503</v>
      </c>
      <c r="F356" s="7" t="s">
        <v>46</v>
      </c>
      <c r="G356" s="8">
        <v>45965.589618055557</v>
      </c>
      <c r="H356" s="7" t="s">
        <v>410</v>
      </c>
      <c r="I356" s="7" t="s">
        <v>1011</v>
      </c>
      <c r="J356">
        <v>14</v>
      </c>
      <c r="K356" s="7" t="s">
        <v>30</v>
      </c>
      <c r="L356" s="7" t="s">
        <v>412</v>
      </c>
      <c r="M356" s="7" t="s">
        <v>413</v>
      </c>
      <c r="N356" s="7"/>
    </row>
    <row r="357" spans="1:14" hidden="1">
      <c r="A357" s="9" t="s">
        <v>374</v>
      </c>
      <c r="B357" t="str">
        <f>VLOOKUP(WH_Data[[#This Row],[Case Number]],Table2[[CaseNumber]:[Region__c]],1,FALSE)</f>
        <v>18773579</v>
      </c>
      <c r="C357" s="7" t="s">
        <v>407</v>
      </c>
      <c r="D357" s="7" t="s">
        <v>708</v>
      </c>
      <c r="E357" s="7" t="s">
        <v>822</v>
      </c>
      <c r="F357" s="7" t="s">
        <v>17</v>
      </c>
      <c r="G357" s="8">
        <v>45967.409502314818</v>
      </c>
      <c r="H357" s="7" t="s">
        <v>410</v>
      </c>
      <c r="I357" s="7" t="s">
        <v>1012</v>
      </c>
      <c r="J357">
        <v>6</v>
      </c>
      <c r="K357" s="7" t="s">
        <v>30</v>
      </c>
      <c r="L357" s="7" t="s">
        <v>412</v>
      </c>
      <c r="M357" s="7" t="s">
        <v>413</v>
      </c>
      <c r="N357" s="7"/>
    </row>
    <row r="358" spans="1:14" hidden="1">
      <c r="A358" s="9" t="s">
        <v>375</v>
      </c>
      <c r="B358" t="str">
        <f>VLOOKUP(WH_Data[[#This Row],[Case Number]],Table2[[CaseNumber]:[Region__c]],1,FALSE)</f>
        <v>18774184</v>
      </c>
      <c r="C358" s="7" t="s">
        <v>407</v>
      </c>
      <c r="D358" s="7" t="s">
        <v>670</v>
      </c>
      <c r="E358" s="7" t="s">
        <v>409</v>
      </c>
      <c r="F358" s="7" t="s">
        <v>11</v>
      </c>
      <c r="G358" s="8">
        <v>45967.387199074074</v>
      </c>
      <c r="H358" s="7" t="s">
        <v>410</v>
      </c>
      <c r="I358" s="7" t="s">
        <v>1013</v>
      </c>
      <c r="J358">
        <v>9</v>
      </c>
      <c r="K358" s="7" t="s">
        <v>30</v>
      </c>
      <c r="L358" s="7" t="s">
        <v>412</v>
      </c>
      <c r="M358" s="7" t="s">
        <v>413</v>
      </c>
      <c r="N358" s="7"/>
    </row>
    <row r="359" spans="1:14" hidden="1">
      <c r="A359" s="9" t="s">
        <v>376</v>
      </c>
      <c r="B359" t="str">
        <f>VLOOKUP(WH_Data[[#This Row],[Case Number]],Table2[[CaseNumber]:[Region__c]],1,FALSE)</f>
        <v>18775291</v>
      </c>
      <c r="C359" s="7" t="s">
        <v>422</v>
      </c>
      <c r="D359" s="7" t="s">
        <v>508</v>
      </c>
      <c r="E359" s="7" t="s">
        <v>624</v>
      </c>
      <c r="F359" s="7" t="s">
        <v>11</v>
      </c>
      <c r="G359" s="8">
        <v>45953.471226851849</v>
      </c>
      <c r="H359" s="7" t="s">
        <v>410</v>
      </c>
      <c r="I359" s="7" t="s">
        <v>1014</v>
      </c>
      <c r="J359">
        <v>6</v>
      </c>
      <c r="K359" s="7" t="s">
        <v>30</v>
      </c>
      <c r="L359" s="7" t="s">
        <v>412</v>
      </c>
      <c r="M359" s="7" t="s">
        <v>413</v>
      </c>
      <c r="N359" s="7"/>
    </row>
    <row r="360" spans="1:14" hidden="1">
      <c r="A360" s="9" t="s">
        <v>377</v>
      </c>
      <c r="B360" t="str">
        <f>VLOOKUP(WH_Data[[#This Row],[Case Number]],Table2[[CaseNumber]:[Region__c]],1,FALSE)</f>
        <v>18781846</v>
      </c>
      <c r="C360" s="7" t="s">
        <v>422</v>
      </c>
      <c r="D360" s="7" t="s">
        <v>1015</v>
      </c>
      <c r="E360" s="7" t="s">
        <v>596</v>
      </c>
      <c r="F360" s="7" t="s">
        <v>11</v>
      </c>
      <c r="G360" s="8">
        <v>45981.616388888891</v>
      </c>
      <c r="H360" s="7" t="s">
        <v>410</v>
      </c>
      <c r="I360" s="7" t="s">
        <v>1016</v>
      </c>
      <c r="J360">
        <v>2</v>
      </c>
      <c r="K360" s="7" t="s">
        <v>30</v>
      </c>
      <c r="L360" s="7" t="s">
        <v>412</v>
      </c>
      <c r="M360" s="7" t="s">
        <v>413</v>
      </c>
      <c r="N360" s="7"/>
    </row>
    <row r="361" spans="1:14" hidden="1">
      <c r="A361" s="9" t="s">
        <v>378</v>
      </c>
      <c r="B361" t="str">
        <f>VLOOKUP(WH_Data[[#This Row],[Case Number]],Table2[[CaseNumber]:[Region__c]],1,FALSE)</f>
        <v>18793091</v>
      </c>
      <c r="C361" s="7" t="s">
        <v>422</v>
      </c>
      <c r="D361" s="7" t="s">
        <v>936</v>
      </c>
      <c r="E361" s="7" t="s">
        <v>524</v>
      </c>
      <c r="F361" s="7" t="s">
        <v>11</v>
      </c>
      <c r="G361" s="8">
        <v>45964.32298611111</v>
      </c>
      <c r="H361" s="7" t="s">
        <v>410</v>
      </c>
      <c r="I361" s="7" t="s">
        <v>1017</v>
      </c>
      <c r="J361">
        <v>7</v>
      </c>
      <c r="K361" s="7" t="s">
        <v>30</v>
      </c>
      <c r="L361" s="7" t="s">
        <v>412</v>
      </c>
      <c r="M361" s="7" t="s">
        <v>413</v>
      </c>
      <c r="N361" s="7"/>
    </row>
    <row r="362" spans="1:14" hidden="1">
      <c r="A362" s="9" t="s">
        <v>379</v>
      </c>
      <c r="B362" t="str">
        <f>VLOOKUP(WH_Data[[#This Row],[Case Number]],Table2[[CaseNumber]:[Region__c]],1,FALSE)</f>
        <v>18806902</v>
      </c>
      <c r="C362" s="7" t="s">
        <v>422</v>
      </c>
      <c r="D362" s="7" t="s">
        <v>1018</v>
      </c>
      <c r="E362" s="7" t="s">
        <v>440</v>
      </c>
      <c r="F362" s="7" t="s">
        <v>11</v>
      </c>
      <c r="G362" s="8">
        <v>45986.661192129628</v>
      </c>
      <c r="H362" s="7" t="s">
        <v>410</v>
      </c>
      <c r="I362" s="7" t="s">
        <v>1019</v>
      </c>
      <c r="J362">
        <v>14</v>
      </c>
      <c r="K362" s="7" t="s">
        <v>30</v>
      </c>
      <c r="L362" s="7" t="s">
        <v>412</v>
      </c>
      <c r="M362" s="7" t="s">
        <v>413</v>
      </c>
      <c r="N362" s="7"/>
    </row>
    <row r="363" spans="1:14" hidden="1">
      <c r="A363" s="9" t="s">
        <v>380</v>
      </c>
      <c r="B363" t="str">
        <f>VLOOKUP(WH_Data[[#This Row],[Case Number]],Table2[[CaseNumber]:[Region__c]],1,FALSE)</f>
        <v>18811840</v>
      </c>
      <c r="C363" s="7" t="s">
        <v>422</v>
      </c>
      <c r="D363" s="7" t="s">
        <v>698</v>
      </c>
      <c r="E363" s="7" t="s">
        <v>743</v>
      </c>
      <c r="F363" s="7" t="s">
        <v>19</v>
      </c>
      <c r="G363" s="8">
        <v>45971.462789351855</v>
      </c>
      <c r="H363" s="7" t="s">
        <v>410</v>
      </c>
      <c r="I363" s="7" t="s">
        <v>1020</v>
      </c>
      <c r="J363">
        <v>11</v>
      </c>
      <c r="K363" s="7" t="s">
        <v>30</v>
      </c>
      <c r="L363" s="7" t="s">
        <v>412</v>
      </c>
      <c r="M363" s="7" t="s">
        <v>413</v>
      </c>
      <c r="N363" s="7"/>
    </row>
    <row r="364" spans="1:14" hidden="1">
      <c r="A364" s="9" t="s">
        <v>381</v>
      </c>
      <c r="B364" t="str">
        <f>VLOOKUP(WH_Data[[#This Row],[Case Number]],Table2[[CaseNumber]:[Region__c]],1,FALSE)</f>
        <v>18816439</v>
      </c>
      <c r="C364" s="7" t="s">
        <v>414</v>
      </c>
      <c r="D364" s="7" t="s">
        <v>695</v>
      </c>
      <c r="E364" s="7" t="s">
        <v>992</v>
      </c>
      <c r="F364" s="7" t="s">
        <v>46</v>
      </c>
      <c r="G364" s="8">
        <v>45987.429502314815</v>
      </c>
      <c r="H364" s="7" t="s">
        <v>1021</v>
      </c>
      <c r="I364" s="7" t="s">
        <v>1022</v>
      </c>
      <c r="J364">
        <v>7</v>
      </c>
      <c r="K364" s="7" t="s">
        <v>30</v>
      </c>
      <c r="L364" s="7" t="s">
        <v>412</v>
      </c>
      <c r="M364" s="7" t="s">
        <v>413</v>
      </c>
      <c r="N364" s="7"/>
    </row>
    <row r="365" spans="1:14" hidden="1">
      <c r="A365" s="9" t="s">
        <v>382</v>
      </c>
      <c r="B365" t="str">
        <f>VLOOKUP(WH_Data[[#This Row],[Case Number]],Table2[[CaseNumber]:[Region__c]],1,FALSE)</f>
        <v>18816558</v>
      </c>
      <c r="C365" s="7" t="s">
        <v>414</v>
      </c>
      <c r="D365" s="7" t="s">
        <v>695</v>
      </c>
      <c r="E365" s="7" t="s">
        <v>657</v>
      </c>
      <c r="F365" s="7" t="s">
        <v>46</v>
      </c>
      <c r="G365" s="8">
        <v>45987.33284722222</v>
      </c>
      <c r="H365" s="7" t="s">
        <v>1021</v>
      </c>
      <c r="I365" s="7" t="s">
        <v>1023</v>
      </c>
      <c r="J365">
        <v>7</v>
      </c>
      <c r="K365" s="7" t="s">
        <v>30</v>
      </c>
      <c r="L365" s="7" t="s">
        <v>412</v>
      </c>
      <c r="M365" s="7" t="s">
        <v>413</v>
      </c>
      <c r="N365" s="7"/>
    </row>
    <row r="366" spans="1:14" hidden="1">
      <c r="A366" s="9" t="s">
        <v>383</v>
      </c>
      <c r="B366" t="str">
        <f>VLOOKUP(WH_Data[[#This Row],[Case Number]],Table2[[CaseNumber]:[Region__c]],1,FALSE)</f>
        <v>18816716</v>
      </c>
      <c r="C366" s="7" t="s">
        <v>414</v>
      </c>
      <c r="D366" s="7" t="s">
        <v>695</v>
      </c>
      <c r="E366" s="7" t="s">
        <v>619</v>
      </c>
      <c r="F366" s="7" t="s">
        <v>46</v>
      </c>
      <c r="G366" s="8">
        <v>45987.339189814818</v>
      </c>
      <c r="H366" s="7" t="s">
        <v>1021</v>
      </c>
      <c r="I366" s="7" t="s">
        <v>1024</v>
      </c>
      <c r="J366">
        <v>7</v>
      </c>
      <c r="K366" s="7" t="s">
        <v>30</v>
      </c>
      <c r="L366" s="7" t="s">
        <v>412</v>
      </c>
      <c r="M366" s="7" t="s">
        <v>413</v>
      </c>
      <c r="N366" s="7"/>
    </row>
    <row r="367" spans="1:14" hidden="1">
      <c r="A367" s="9" t="s">
        <v>384</v>
      </c>
      <c r="B367" t="str">
        <f>VLOOKUP(WH_Data[[#This Row],[Case Number]],Table2[[CaseNumber]:[Region__c]],1,FALSE)</f>
        <v>18818924</v>
      </c>
      <c r="C367" s="7" t="s">
        <v>407</v>
      </c>
      <c r="D367" s="7" t="s">
        <v>986</v>
      </c>
      <c r="E367" s="7" t="s">
        <v>651</v>
      </c>
      <c r="F367" s="7" t="s">
        <v>46</v>
      </c>
      <c r="G367" s="8">
        <v>45982.641562500001</v>
      </c>
      <c r="H367" s="7" t="s">
        <v>987</v>
      </c>
      <c r="I367" s="7" t="s">
        <v>1025</v>
      </c>
      <c r="J367">
        <v>8</v>
      </c>
      <c r="K367" s="7" t="s">
        <v>30</v>
      </c>
      <c r="L367" s="7" t="s">
        <v>412</v>
      </c>
      <c r="M367" s="7" t="s">
        <v>413</v>
      </c>
      <c r="N367" s="7"/>
    </row>
    <row r="368" spans="1:14" hidden="1">
      <c r="A368" s="9" t="s">
        <v>385</v>
      </c>
      <c r="B368" t="str">
        <f>VLOOKUP(WH_Data[[#This Row],[Case Number]],Table2[[CaseNumber]:[Region__c]],1,FALSE)</f>
        <v>18819055</v>
      </c>
      <c r="C368" s="7" t="s">
        <v>407</v>
      </c>
      <c r="D368" s="7" t="s">
        <v>986</v>
      </c>
      <c r="E368" s="7" t="s">
        <v>419</v>
      </c>
      <c r="F368" s="7" t="s">
        <v>46</v>
      </c>
      <c r="G368" s="8">
        <v>45982.640335648146</v>
      </c>
      <c r="H368" s="7" t="s">
        <v>987</v>
      </c>
      <c r="I368" s="7" t="s">
        <v>1026</v>
      </c>
      <c r="J368">
        <v>8</v>
      </c>
      <c r="K368" s="7" t="s">
        <v>30</v>
      </c>
      <c r="L368" s="7" t="s">
        <v>412</v>
      </c>
      <c r="M368" s="7" t="s">
        <v>413</v>
      </c>
      <c r="N368" s="7"/>
    </row>
    <row r="369" spans="1:14" hidden="1">
      <c r="A369" s="9" t="s">
        <v>386</v>
      </c>
      <c r="B369" t="str">
        <f>VLOOKUP(WH_Data[[#This Row],[Case Number]],Table2[[CaseNumber]:[Region__c]],1,FALSE)</f>
        <v>18819927</v>
      </c>
      <c r="C369" s="7" t="s">
        <v>414</v>
      </c>
      <c r="D369" s="7" t="s">
        <v>695</v>
      </c>
      <c r="E369" s="7" t="s">
        <v>1027</v>
      </c>
      <c r="F369" s="7" t="s">
        <v>46</v>
      </c>
      <c r="G369" s="8">
        <v>45987.346076388887</v>
      </c>
      <c r="H369" s="7" t="s">
        <v>1021</v>
      </c>
      <c r="I369" s="7" t="s">
        <v>1028</v>
      </c>
      <c r="J369">
        <v>7</v>
      </c>
      <c r="K369" s="7" t="s">
        <v>30</v>
      </c>
      <c r="L369" s="7" t="s">
        <v>412</v>
      </c>
      <c r="M369" s="7" t="s">
        <v>413</v>
      </c>
      <c r="N369" s="7"/>
    </row>
    <row r="370" spans="1:14" hidden="1">
      <c r="A370" s="9" t="s">
        <v>387</v>
      </c>
      <c r="B370" t="str">
        <f>VLOOKUP(WH_Data[[#This Row],[Case Number]],Table2[[CaseNumber]:[Region__c]],1,FALSE)</f>
        <v>18825512</v>
      </c>
      <c r="C370" s="7" t="s">
        <v>422</v>
      </c>
      <c r="D370" s="7" t="s">
        <v>936</v>
      </c>
      <c r="E370" s="7" t="s">
        <v>1029</v>
      </c>
      <c r="F370" s="7" t="s">
        <v>11</v>
      </c>
      <c r="G370" s="8">
        <v>45965.67732638889</v>
      </c>
      <c r="H370" s="7" t="s">
        <v>410</v>
      </c>
      <c r="I370" s="7" t="s">
        <v>1030</v>
      </c>
      <c r="J370">
        <v>8</v>
      </c>
      <c r="K370" s="7" t="s">
        <v>30</v>
      </c>
      <c r="L370" s="7" t="s">
        <v>412</v>
      </c>
      <c r="M370" s="7" t="s">
        <v>413</v>
      </c>
      <c r="N370" s="7"/>
    </row>
    <row r="371" spans="1:14" hidden="1">
      <c r="A371" s="9" t="s">
        <v>388</v>
      </c>
      <c r="B371" t="str">
        <f>VLOOKUP(WH_Data[[#This Row],[Case Number]],Table2[[CaseNumber]:[Region__c]],1,FALSE)</f>
        <v>18830674</v>
      </c>
      <c r="C371" s="7" t="s">
        <v>422</v>
      </c>
      <c r="D371" s="7" t="s">
        <v>1015</v>
      </c>
      <c r="E371" s="7" t="s">
        <v>1031</v>
      </c>
      <c r="F371" s="7" t="s">
        <v>11</v>
      </c>
      <c r="G371" s="8">
        <v>45952.337465277778</v>
      </c>
      <c r="H371" s="7" t="s">
        <v>410</v>
      </c>
      <c r="I371" s="7" t="s">
        <v>1032</v>
      </c>
      <c r="J371">
        <v>5</v>
      </c>
      <c r="K371" s="7" t="s">
        <v>30</v>
      </c>
      <c r="L371" s="7" t="s">
        <v>412</v>
      </c>
      <c r="M371" s="7" t="s">
        <v>413</v>
      </c>
      <c r="N371" s="7"/>
    </row>
    <row r="372" spans="1:14" hidden="1">
      <c r="A372" s="9" t="s">
        <v>389</v>
      </c>
      <c r="B372" t="str">
        <f>VLOOKUP(WH_Data[[#This Row],[Case Number]],Table2[[CaseNumber]:[Region__c]],1,FALSE)</f>
        <v>18842617</v>
      </c>
      <c r="C372" s="7" t="s">
        <v>422</v>
      </c>
      <c r="D372" s="7" t="s">
        <v>508</v>
      </c>
      <c r="E372" s="7" t="s">
        <v>624</v>
      </c>
      <c r="F372" s="7" t="s">
        <v>19</v>
      </c>
      <c r="G372" s="8">
        <v>45964.309224537035</v>
      </c>
      <c r="H372" s="7" t="s">
        <v>410</v>
      </c>
      <c r="I372" s="7" t="s">
        <v>1033</v>
      </c>
      <c r="J372">
        <v>10</v>
      </c>
      <c r="K372" s="7" t="s">
        <v>30</v>
      </c>
      <c r="L372" s="7" t="s">
        <v>412</v>
      </c>
      <c r="M372" s="7" t="s">
        <v>413</v>
      </c>
      <c r="N372" s="7"/>
    </row>
    <row r="373" spans="1:14" hidden="1">
      <c r="A373" s="9" t="s">
        <v>390</v>
      </c>
      <c r="B373" t="str">
        <f>VLOOKUP(WH_Data[[#This Row],[Case Number]],Table2[[CaseNumber]:[Region__c]],1,FALSE)</f>
        <v>18867849</v>
      </c>
      <c r="C373" s="7" t="s">
        <v>407</v>
      </c>
      <c r="D373" s="7" t="s">
        <v>986</v>
      </c>
      <c r="E373" s="7" t="s">
        <v>457</v>
      </c>
      <c r="F373" s="7" t="s">
        <v>46</v>
      </c>
      <c r="G373" s="8">
        <v>45982.64340277778</v>
      </c>
      <c r="H373" s="7" t="s">
        <v>987</v>
      </c>
      <c r="I373" s="7" t="s">
        <v>1034</v>
      </c>
      <c r="J373">
        <v>8</v>
      </c>
      <c r="K373" s="7" t="s">
        <v>30</v>
      </c>
      <c r="L373" s="7" t="s">
        <v>412</v>
      </c>
      <c r="M373" s="7" t="s">
        <v>413</v>
      </c>
      <c r="N373" s="7"/>
    </row>
    <row r="374" spans="1:14" hidden="1">
      <c r="A374" s="9" t="s">
        <v>391</v>
      </c>
      <c r="B374" t="str">
        <f>VLOOKUP(WH_Data[[#This Row],[Case Number]],Table2[[CaseNumber]:[Region__c]],1,FALSE)</f>
        <v>18868054</v>
      </c>
      <c r="C374" s="7" t="s">
        <v>414</v>
      </c>
      <c r="D374" s="7" t="s">
        <v>534</v>
      </c>
      <c r="E374" s="7" t="s">
        <v>714</v>
      </c>
      <c r="F374" s="7" t="s">
        <v>11</v>
      </c>
      <c r="G374" s="8">
        <v>45979.45034722222</v>
      </c>
      <c r="H374" s="7" t="s">
        <v>410</v>
      </c>
      <c r="I374" s="7" t="s">
        <v>1035</v>
      </c>
      <c r="J374">
        <v>14</v>
      </c>
      <c r="K374" s="7" t="s">
        <v>30</v>
      </c>
      <c r="L374" s="7" t="s">
        <v>412</v>
      </c>
      <c r="M374" s="7" t="s">
        <v>413</v>
      </c>
      <c r="N374" s="7"/>
    </row>
    <row r="375" spans="1:14" hidden="1">
      <c r="A375" s="9" t="s">
        <v>392</v>
      </c>
      <c r="B375" t="str">
        <f>VLOOKUP(WH_Data[[#This Row],[Case Number]],Table2[[CaseNumber]:[Region__c]],1,FALSE)</f>
        <v>18870876</v>
      </c>
      <c r="C375" s="7" t="s">
        <v>414</v>
      </c>
      <c r="D375" s="7" t="s">
        <v>695</v>
      </c>
      <c r="E375" s="7" t="s">
        <v>519</v>
      </c>
      <c r="F375" s="7" t="s">
        <v>46</v>
      </c>
      <c r="G375" s="8">
        <v>45987.361111111109</v>
      </c>
      <c r="H375" s="7" t="s">
        <v>1021</v>
      </c>
      <c r="I375" s="7" t="s">
        <v>1036</v>
      </c>
      <c r="J375">
        <v>7</v>
      </c>
      <c r="K375" s="7" t="s">
        <v>30</v>
      </c>
      <c r="L375" s="7" t="s">
        <v>412</v>
      </c>
      <c r="M375" s="7" t="s">
        <v>413</v>
      </c>
      <c r="N375" s="7"/>
    </row>
    <row r="376" spans="1:14" hidden="1">
      <c r="A376" s="9" t="s">
        <v>27</v>
      </c>
      <c r="B376" t="str">
        <f>VLOOKUP(WH_Data[[#This Row],[Case Number]],Table2[[CaseNumber]:[Region__c]],1,FALSE)</f>
        <v>18871664</v>
      </c>
      <c r="C376" s="7" t="s">
        <v>455</v>
      </c>
      <c r="D376" s="7" t="s">
        <v>650</v>
      </c>
      <c r="E376" s="7" t="s">
        <v>972</v>
      </c>
      <c r="F376" s="7" t="s">
        <v>11</v>
      </c>
      <c r="G376" s="8">
        <v>45953.64603009259</v>
      </c>
      <c r="H376" s="7" t="s">
        <v>973</v>
      </c>
      <c r="I376" s="7" t="s">
        <v>1037</v>
      </c>
      <c r="J376">
        <v>6</v>
      </c>
      <c r="K376" s="7" t="s">
        <v>12</v>
      </c>
      <c r="L376" s="7" t="s">
        <v>412</v>
      </c>
      <c r="M376" s="7" t="s">
        <v>413</v>
      </c>
      <c r="N376" s="7"/>
    </row>
    <row r="377" spans="1:14" hidden="1">
      <c r="A377" s="9" t="s">
        <v>393</v>
      </c>
      <c r="B377" t="str">
        <f>VLOOKUP(WH_Data[[#This Row],[Case Number]],Table2[[CaseNumber]:[Region__c]],1,FALSE)</f>
        <v>18900508</v>
      </c>
      <c r="C377" s="7" t="s">
        <v>422</v>
      </c>
      <c r="D377" s="7" t="s">
        <v>423</v>
      </c>
      <c r="E377" s="7" t="s">
        <v>651</v>
      </c>
      <c r="F377" s="7" t="s">
        <v>19</v>
      </c>
      <c r="G377" s="8">
        <v>45986.620335648149</v>
      </c>
      <c r="H377" s="7" t="s">
        <v>410</v>
      </c>
      <c r="I377" s="7" t="s">
        <v>1038</v>
      </c>
      <c r="J377">
        <v>12</v>
      </c>
      <c r="K377" s="7" t="s">
        <v>30</v>
      </c>
      <c r="L377" s="7" t="s">
        <v>412</v>
      </c>
      <c r="M377" s="7" t="s">
        <v>413</v>
      </c>
      <c r="N377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D667-318D-47AF-96D2-F1164AC75DF9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FF67ED-9E30-4264-9312-7424DBE0A16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4ae014c-8170-484b-8a8e-3a6b842e2604}" enabled="1" method="Standard" siteId="{ad221784-72a8-4263-ac86-0ccc6b152c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</vt:lpstr>
      <vt:lpstr>WH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Antonio López Romero</cp:lastModifiedBy>
  <dcterms:modified xsi:type="dcterms:W3CDTF">2025-11-27T14:26:51Z</dcterms:modified>
</cp:coreProperties>
</file>